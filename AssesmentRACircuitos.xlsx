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resu\Downloads\"/>
    </mc:Choice>
  </mc:AlternateContent>
  <xr:revisionPtr revIDLastSave="0" documentId="8_{47224D8B-833F-4D05-A11A-56B460B08139}" xr6:coauthVersionLast="47" xr6:coauthVersionMax="47" xr10:uidLastSave="{00000000-0000-0000-0000-000000000000}"/>
  <bookViews>
    <workbookView xWindow="-108" yWindow="-108" windowWidth="23256" windowHeight="12456" activeTab="1" xr2:uid="{4E9231FD-D7D4-4DB9-827C-7BBB8C2AB79E}"/>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a="1"/>
  <c r="J9" i="1"/>
  <c r="K9" i="1" s="1"/>
  <c r="J10" i="1"/>
  <c r="K10" i="1" s="1"/>
  <c r="J11" i="1"/>
  <c r="K11" i="1" s="1"/>
  <c r="J12" i="1"/>
  <c r="K12" i="1" s="1"/>
  <c r="J13" i="1"/>
  <c r="K13" i="1" s="1"/>
  <c r="J14" i="1"/>
  <c r="K14" i="1" s="1"/>
  <c r="H15" i="1"/>
  <c r="I15" i="1" s="1"/>
  <c r="F15" i="1"/>
  <c r="G15" i="1" s="1"/>
  <c r="D15" i="1"/>
  <c r="E15" i="1" s="1"/>
  <c r="I9" i="1"/>
  <c r="I10" i="1"/>
  <c r="I11" i="1"/>
  <c r="I12" i="1"/>
  <c r="I13" i="1"/>
  <c r="I14" i="1"/>
  <c r="G9" i="1"/>
  <c r="G10" i="1"/>
  <c r="G11" i="1"/>
  <c r="G12" i="1"/>
  <c r="G13" i="1"/>
  <c r="G14" i="1"/>
  <c r="E9" i="1"/>
  <c r="E10" i="1"/>
  <c r="E11" i="1"/>
  <c r="E12" i="1"/>
  <c r="E13" i="1"/>
  <c r="E14" i="1"/>
  <c r="I8" i="1"/>
  <c r="G8" i="1"/>
  <c r="E8" i="1"/>
  <c r="J8" i="1"/>
  <c r="C3" i="1" l="1"/>
  <c r="E7" i="1"/>
  <c r="G7" i="1"/>
  <c r="I7" i="1"/>
  <c r="J15" i="1"/>
  <c r="K15" i="1" s="1"/>
  <c r="K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<sst xmlns="http://schemas.openxmlformats.org/spreadsheetml/2006/main" count="514" uniqueCount="231">
  <si>
    <t>Estudiante</t>
  </si>
  <si>
    <t>Calificación Primer corte</t>
  </si>
  <si>
    <t>Calificación Tercer corte</t>
  </si>
  <si>
    <t>Calificación Segundo corte</t>
  </si>
  <si>
    <t>Grupo</t>
  </si>
  <si>
    <t>0-29</t>
  </si>
  <si>
    <t>30-35</t>
  </si>
  <si>
    <t>36-40</t>
  </si>
  <si>
    <t>41-45</t>
  </si>
  <si>
    <t>46-50</t>
  </si>
  <si>
    <t xml:space="preserve">Deficiente: </t>
  </si>
  <si>
    <t>Aceptable:</t>
  </si>
  <si>
    <t xml:space="preserve">Bueno: </t>
  </si>
  <si>
    <t>Muy Bueno:</t>
  </si>
  <si>
    <t>Excelente:</t>
  </si>
  <si>
    <t>Definitiva</t>
  </si>
  <si>
    <t>Cod</t>
  </si>
  <si>
    <t>Nombre 1</t>
  </si>
  <si>
    <t>Nombre 2</t>
  </si>
  <si>
    <t>Nombre 3</t>
  </si>
  <si>
    <t>Nombre 4</t>
  </si>
  <si>
    <t>Nombre 5</t>
  </si>
  <si>
    <t>Nombre 6</t>
  </si>
  <si>
    <t>Nombre 7</t>
  </si>
  <si>
    <t>Nivel de cualificación de los Resultados de Aprendizaje</t>
  </si>
  <si>
    <t>No logra identificar los conceptos fundamentales ni aplicar los procedimientos básicos requeridos para el análisis y resolución de los problemas planteados.</t>
  </si>
  <si>
    <t>Identifica los conceptos básicos asociados al Resultado de Aprendizaje, pero presenta dificultades al aplicarlos de manera consistente.</t>
  </si>
  <si>
    <t>Ejecuta actividades de laboratorio y simulación de baja complejidad siguiendo instrucciones específicas, con presencia de errores recurrentes y dependencia del acompañamiento docente.</t>
  </si>
  <si>
    <t>Propone soluciones técnicas fundamentadas, introduce mejoras o alternativas de diseño y optimiza procesos de manera autónoma, justificando sus decisiones mediante análisis, simulaciones o validaciones experimentales.</t>
  </si>
  <si>
    <t>No identifica correctamente variables, componentes o principios básicos del circuito.
Presenta errores conceptuales graves en el planteamiento de ecuaciones o esquemas.
No completa o abandona las actividades de laboratorio o simulación.
Requiere acompañamiento permanente y aun así no logra resultados funcionales.</t>
  </si>
  <si>
    <t>Reconoce conceptos básicos, pero los aplica de forma parcial o inconsistente.
Ejecuta actividades experimentales simples siguiendo instrucciones paso a paso.
Presenta errores frecuentes de cálculo, medición o interpretación de resultados.
Depende del acompañamiento docente para corregir fallos y avanzar.</t>
  </si>
  <si>
    <t>Plantea correctamente modelos, esquemas o ecuaciones del sistema analizado.
Ejecuta prácticas de laboratorio y simulación de manera autónoma.
Obtiene resultados coherentes y los interpreta adecuadamente.
Justifica sus conclusiones con base en cálculos, mediciones o simulaciones</t>
  </si>
  <si>
    <t>Analiza el comportamiento del sistema ante variaciones de parámetros o condiciones.
Ajusta procedimientos experimentales o de simulación para mejorar resultados.
Resuelve problemas sin necesidad de instrucciones detalladas.
Demuestra criterio técnico en la toma de decisiones y en la validación de resultados.</t>
  </si>
  <si>
    <t>Integra conceptos teóricos y experimentales para proponer soluciones alternativas.
Optimiza el diseño o el procedimiento experimental justificando las mejoras.
Compara distintas soluciones y argumenta la selección de la más adecuada.
Documenta de manera clara y rigurosa el proceso de análisis, diseño y validación.</t>
  </si>
  <si>
    <t>RA1:</t>
  </si>
  <si>
    <t>RA2:</t>
  </si>
  <si>
    <t>RA3:</t>
  </si>
  <si>
    <t>Indicadores Observables</t>
  </si>
  <si>
    <t>Presenta dificultades para ejecutar actividades de laboratorio y simulación, incluso con acompañamiento docente, lo que evidencia una ausencia de apropiación conceptual y procedimental.</t>
  </si>
  <si>
    <t>Demuestra comprensión del tema y aplica correctamente los procedimientos requeridos, cometiendo pocos errores técnicos.</t>
  </si>
  <si>
    <t>Desarrolla actividades de laboratorio y simulación de forma autónoma, cumpliendo los requisitos establecidos y justificando  los resultados obtenidos.</t>
  </si>
  <si>
    <t>Aplica los conocimientos evidenciando autonomía, criterio técnico y capacidad de análisis.</t>
  </si>
  <si>
    <t>Resuelve problemas asociados a las actividades de laboratorio y simulación, incorporando adaptaciones razonables ante variaciones en las condiciones del sistema o el contexto del problema.</t>
  </si>
  <si>
    <t xml:space="preserve">Domina el Resultado de Aprendizaje, articulando conocimientos conceptuales, procedimentales y analíticos. </t>
  </si>
  <si>
    <t>NIVEL DE CUALIFICACIÓN</t>
  </si>
  <si>
    <t>CONTENIDOS</t>
  </si>
  <si>
    <t>ASIGNATURAS</t>
  </si>
  <si>
    <t>Resultados de aprendizaje</t>
  </si>
  <si>
    <t>Manual del estudiante, principios de Ingeniería, Ética y Sostenibilidad, Gestión de Proyectos Inicial con carácter social. Manejo de  Instrumentación y equipamento</t>
  </si>
  <si>
    <t>Introducción a la Ingeniería</t>
  </si>
  <si>
    <t>Ley de Ohm, Leyes de Kirchhoff, naturaleza física y el modelo matemático de  la resistencia, el capacitor y el inductor, teoremas de reducción de circuitos.</t>
  </si>
  <si>
    <t>Circuitos I y Laboratorio</t>
  </si>
  <si>
    <t>Números complejos y fasores, impedancia, Triángulo de Potencia, Factor de Potencia, respuesta transitoria</t>
  </si>
  <si>
    <t>Circuitos II y Laboratorio</t>
  </si>
  <si>
    <t>Semiconductores, diodos, transistores BJT/MOSFET como interruptores y amplificadores, acondicionamiento de señales y diseño de filtros activos.</t>
  </si>
  <si>
    <t>Electrónica I y Laboratorio</t>
  </si>
  <si>
    <t>Amplificadores, realimentación, osciladores, y fuentes de alimentación</t>
  </si>
  <si>
    <t>Electrónica II y Laboratorio</t>
  </si>
  <si>
    <t>Electrónica de potencia, manejo de altacorriente o sistemas embebidos</t>
  </si>
  <si>
    <t>Electronic III and Laboratory</t>
  </si>
  <si>
    <t>Transistores de potencia (MOSFETs, IGBTs, SiC), convertidores DC-DC (Buck, Boost), disipación de calor, teoría de control (MPPT, PLL, PWM), metodologías de diseño y documentación</t>
  </si>
  <si>
    <t>Proyecto de Ingeniería</t>
  </si>
  <si>
    <t xml:space="preserve"> Estudio de tecnologías como solar fotovoltaica o eólica, e inversores</t>
  </si>
  <si>
    <t>Electiva Energias Renovables</t>
  </si>
  <si>
    <t>Aplicación de todos los conocimientos en un entorno real</t>
  </si>
  <si>
    <t>Práctica Profesional</t>
  </si>
  <si>
    <t>RA1.Identificar los pilares éticos, de sostenibilidad y de gestión de proyectos, definiendo la ruta de desarrollo profesional alineada con el perfil del egresado.                                                                              RA2. Planificar las fases y los entregables iniciales de un proyecto ingenieril, aplicando metodologías formales de organización de recursos.	                                                                   RA3.Reflexionar críticamente sobre el impacto de la Ingeniería Electrónica en el desarrollo social, adhiriéndose a los principios éticos y la responsabilidad social.</t>
  </si>
  <si>
    <t>RA1. Analizar el comportamiento en régimen transitorio y estacionario de circuitos con elementos pasivos (R, L, C), empleando las Leyes de Kirchhoff y los teoremas de reducción.              RA2. Calcular experimentalmente el flujo decorriente y las caídas de tensión en puntos clave, aplicando los teoremas de reducción de circuitos.                                           	                                                                 RA3. Diseñar esquemáticos de circuitos básicos  validando su respuesta ante cargas dinámicas, demostrando la habilidad de predecir el comportamiento del sistema.</t>
  </si>
  <si>
    <t>RA1. Análizar circuitos en régimen sinusoidal estacionario (AC), definiendo los conceptos de impedancia, fasores, Factor de Potencia y potencia compleja.	                                                                          RA2. Determinar los valores de potencia compleja (Triángulo de Potencia), modelando sistemas de corriente alterna para su aplicación en infraestructuras eléctricas inteligentes.                                    RA3. Medir  la respuesta transitoria y la potencia de circuitos RLC de segundo orden con las predicciones teóricas, ajustando los parámetros de diseño.</t>
  </si>
  <si>
    <t>RA1. Analizar el funcionamiento de dispositivos semiconductores (diodos, transistores) como interruptores y amplificadores, identificando su modelo matemático y sus estados de operación.	                                                                                                                                                                    RA2. Diseñar circuitos de acondicionamiento de señales y filtros activos (Analog Front-End), seleccionando y configurando circuitos integrados complejos.                                                             RA3. Crear  prototipos electrónicos mediante instrumentación avanzada y simuladores, comparando las mediciones con los parámetros de las hojas de datos (datasheets).</t>
  </si>
  <si>
    <t>RA1. Identificar los principios de realimentación positiva y negativa, definiendo su aplicación en el diseño y la optimización de amplificadores y osciladores.	                                                                           RA2. Desarrollar fuentes de alimentación reguladas, modelando los circuitos osciladores para aplicaciones en control y automatización.	                                                                                                                     RA3. Configurar los parámetros de realimentación y componentes de un circuito, verificando su estabilidad y las especificaciones de salida del sistema para la prueba de desempeño de la fuente</t>
  </si>
  <si>
    <t>RA1. Analizar el manejo de alta corriente en sistemas embebidos, definiendo las arquitecturas de electrónica de potencia adecuadas (e.g., sistemas de potencia de microprocesadores).	                                                                                                                                                                      RA2. Diseñar el circuito de control de un sistema que maneje alta corriente, seleccionando y simulando los dispositivos semiconductores de potencia (MOSFETs/IGBTs).	                                                               RA3. Verfificar la operación de un prototipo de electrónica de potencia, calificando su desempeño bajo carga y gestionando su correcta integración en sistemas embebidos complejos.</t>
  </si>
  <si>
    <t>RA1. Establecer los objetivos y el alcance de un proyecto de I+D+i, formulando los requisitos funcionales y no funcionales para la solución de necesidades del cliente.	                                            RA2. Proyectar un sistema electrónico simulando su comportamiento (e.g., control con MPPT/PLL) y diseñando la Placa de Circuito Impreso (PCB) en software CAD profesional (Altium/KiCad).                    	                                                                                                                                       RA3. Ejecutar la fase de pruebas y puesta en marcha del sistema, validando el diseño con instrumentación (osciloscopio etc.) y documentando los resultados.</t>
  </si>
  <si>
    <t>RA1. Analizar la viabilidad técnica, económica y de sostenibilidad de una solución decorriente renovable (solar o eólica), identificando el inversor y la topología requerida.	                                            RA2. Modelar el sistema de conversión decorriente y el inversor, simulando su conexión a la red o a un sistema aislado, aplicando principios de eficiencia.	                                                                                       RA3. Diagnosticar la instalación de un sistema decorriente renovable, midiendo su desempeño y eficiencia energética para la evaluación de su contribución a la sostenibilidad.</t>
  </si>
  <si>
    <t>RA1. Identificar y estructurar un problema ingenieril en un entorno real de trabajo, definiendo los objetivos y las metodologías del proyecto profesional.                                                                                                       RA2. 	Aplicar de forma transversal los conocimientos teóricos y las habilidades prácticas adquiridas, desarrollando una solución técnica viable en el contexto de la Industria 4.0 (IoT, IA).	                                                                                                                                                                                           RA3. Documentar y presentar los resultados y lecciones aprendidas de la experiencia profesional, reflexionando sobre el impacto de la solución y la visión internacional de la profesión.</t>
  </si>
  <si>
    <t>Sistemas de numeración y códigos binarios. Álgebra de Boole y simplificación (Mapas de Karnaugh, Quine-McCluskey). Diseño de circuitos combinacionales (codificadores, multiplexores). Introducción a la lógica secuencial (Flip-Flops, Registros).</t>
  </si>
  <si>
    <t>Circuitos Digitales I y Laboratorio</t>
  </si>
  <si>
    <t xml:space="preserve"> Arquitecturas de microcontroladores (ARM, RISC-V). Programación de bajo nivel (Assembler C/C++).Diseño de Máquinas de Estados Finitos (FSM). Introducción a los Lenguajes de Descripción de Hardware (VHDL/Verilog) para implementación en FPGAs. Memorias (RAM, ROM) y PLDs.</t>
  </si>
  <si>
    <t>Circuitos Digitales II y Laboratorio</t>
  </si>
  <si>
    <t xml:space="preserve"> Aplicaciones con arquitecturas de microcontroladores (ARM, RISC-V). Programación de bajo nivel (C/C++) . Co-diseño hardware-software y consideraciones de presupuesto energético. Ciberseguridad en Firmware.</t>
  </si>
  <si>
    <t>Sistemas embebidos y Laboratorio</t>
  </si>
  <si>
    <t>Principios de diseño paramétrico y no paramétrico. Software de Modelado Asistido por Computador (CAD). Diseño de carcasas y encapsulados para sistemas electrónicos. Impresión 3D (FDM, SLA) y post-procesamiento. Diseño para la Fabricación (DFM).</t>
  </si>
  <si>
    <t>Electiva Modelado 3D</t>
  </si>
  <si>
    <t>RA1. Formular la lógica de un sistema, definiendo la equivalencia entre sistemas de numeración y aplicando el Álgebra de Boole y los Mapas de Karnaugh para su simplificación óptima.	                                                                                                                                                                                          RA2. Desarrrollar circuitos combinacionales (multiplexores, codificadores) y la lógica secuencial básica (Flip-Flops), empleando compuertas lógicas para su correcto funcionamiento.                                                                                                                                                                  RA3. Analizar la operación lógica de los circuitos diseñados, verificando la coherencia entre el esquemático y la tabla de verdad para la integración de la información del mundo real que se codifica en bits.</t>
  </si>
  <si>
    <t>RA1. Determinar la arquitectura de procesamiento adecuada (ARM, RISC-V o FPGA) mediante la configuración de plataformas para  la solución a problemas en ontexto.                                                                                                                                                                                                                                                                                                                                                                                                                                                                                                                  RA2. Desarrollar el código en Lenguajes de Descripción de Hardware (VHDL/Verilog) para su implementación eficiente en plataformas FPGA/CPLD, mediante herramientas de codificación digital.	                                                                                                                                                                            RA3. Verificar la correcta operación, el diseño de la FSM y la lógica secuencial en hardware, demostrando la capacidad de integrar sistemas digitales complejos en aplicaciones de automatización y control.</t>
  </si>
  <si>
    <t>RA1. Determinar la arquitectura de procesamiento adecuada (ARM, RISC-V o FPGA), planificando la gestión de memoria y el presupuesto energético para el co-diseño de una solución eficiente, segura y adaptable (Edge Computing/TinyML).	                                                                                                                                                             RA2. Programar soluciones embebidas en C/C++ de bajo nivel (orientado a registros) y utilizando RTOS, implementando la gestión de periféricos (ADC, UART, SPI) para el acondicionamiento de señales y la comunicación del sistema.	                                                                                                                                                                                            RA3. Mantener el desempeño del firmware, aplicando principios de ciberseguridad y gestionando eficientemente la memoria para el desarrollo de soluciones autónomas que permitan predecir fallas y optimizar sistemas.</t>
  </si>
  <si>
    <t>RA1. Diseñar los requerimientos de la carcasa o encapsulado para un sistema electrónico, analizando los principios de diseño paramétrico/no paramétrico y el Diseño para la Fabricación (DFM).                                                                                                                                                                                                   RA2.    Prototipar la envolvente física del sistema electrónico utilizando Software CAD e Impresión 3D (FDM, SLA), integrando el Diseño para la Fabricación (DFM) y post-procesamiento.                                                                                                                                                                     RA3.   Integrar la solución electrónica dentro de su diseño físico, evaluando la coherencia del modelo con los Gemelos Digitales y validando la funcionalidad para generar emprendimientos de base tecnológica sostenibles.</t>
  </si>
  <si>
    <t>Introducción a la programación (estructuras de control, variables, tipos de datos). Lógica matemática y desarrollo de diagramas de flujo. Introducción a C/C++. Resolución de problemas mediante Máquinas de Estados Finitos (FSM). Desarrollo de rutinas eficientes y documentadas.</t>
  </si>
  <si>
    <t>Pensamiento Algorítmico y Laboratorio</t>
  </si>
  <si>
    <t>Programación de sistemas embebidos. Asignación de memoria (estática y dinámica). Manejo de interrupciones para respuestas en tiempo real. Comunicación serie (UART, SPI, I2C). Optimización de código para recursos limitados (memoria, CPU). Introducción a RTOS (Real-Time Operating Systems).</t>
  </si>
  <si>
    <t>Software para Hardware y Laboratorio</t>
  </si>
  <si>
    <t>Fundamentos de estadística aplicada y probabilidad. Procesamiento y limpieza de datos. Introducción a Python y librerías clave (Pandas, NumPy). Visualización de datos. Sensores inteligentes y mantenimiento predictivo (adquisición, almacenamiento y análisis de datos de sensores). Despliegue de análisis en hardware. Gestión de Big Data.</t>
  </si>
  <si>
    <t>Electiva Análitica de datos</t>
  </si>
  <si>
    <t>Fundamentos de Aprendizaje Automático (ML): supervisado, no supervisado y por refuerzo. Modelos lineales y no lineales (Regresión, Clasificación). Introducción a Redes Neuronales (NN). Entrenamiento, validación y testing de modelos. Despliegue de modelos TinyML en hardware embebido (TensorFlow Lite).</t>
  </si>
  <si>
    <t>Electiva Machine Learning</t>
  </si>
  <si>
    <t xml:space="preserve">Redes Neuronales Profundas (DNN). Operaciones matriciales y tensoriales. Redes Convolucionales (CNN) para visión artificial. Redes Recurrentes (RNN) para procesamiento de lenguaje/series temporales. Modelos transformadores (bases de IA Generativa). Uso de frameworks (PyTorch o TensorFlow). </t>
  </si>
  <si>
    <t>Electiva Deep Learning</t>
  </si>
  <si>
    <t>Geometría del espacio tridimensional y modelado 3D. Principios de Realidad Virtual (VR) y Aumentada (AR). Motores de juego (Unity/Unreal) y su aplicación ingenieril. Interfaces invisibles (seguimiento ocular y gestual). Diseño de interacción y experiencia de usuario (UX/UI). Desarrollo de entornos 3D dinámicos.</t>
  </si>
  <si>
    <t>Electiva Realidad Virtual y Aumentada</t>
  </si>
  <si>
    <t>RA1. Diseñar soluciones a problemas de contexto mediante la lógica matemática, definiendo la estructura de control y el flujo de datos usando diagramas de flujo y Máquinas de Estados Finitos (FSM).                                                                                                                                                                                             RA2. Programar rutinas y algoritmos en lenguajes de bajo y medio nivel (C/C++), aplicando los lineamientos técnicos para el uso eficiente del entorno de codificación y los recursos.                            RA3.   Demostrar la funcionalidad y no funcionalidad del software programado, documentando los resultados y asegurando su respuesta efectiva a la solución de problemas.</t>
  </si>
  <si>
    <t>RA1. Analizar los requerimientos de tiempo real de un sistema embebido, definiendo estrategias de asignación de memoria y gestión de interrupciones para optimizar los recursos limitados.                                                                                                                                                                       RA2. Desarrollar código C/C++ orientado al hardware (firmware), implementando rutinas de comunicación serie (UART, SPI, I2C) y los conceptos de Sistemas Operativos de Tiempo Real (RTOS).                                                                                                                                                                                           RA3.   Construir el software de bajo nivel en entornos de hardware real, supervisando su desempeño para garantizar la robustez y eficiencia del sistema embebido (IIoT).</t>
  </si>
  <si>
    <t>RA1. Diseñar un plan de adquisición y procesamiento de datos masivos, aplicando los fundamentos de estadística y probabilidad para el análisis de tendencias y la identificación de variables clave en mantenimiento predictivo.                                                                                                                   RA2.  Modelar un proceso de limpieza y visualización de datos usando librerías clave de Python (Pandas, NumPy), desarrollando la lógica para el despliegue del análisis en hardware (Edge Impulse).                                                                                                                                                                                  RA3.   Ejecutar la adquisición, almacenamiento y análisis de datos de sensores inteligentes, validando la efectividad de la solución de mantenimiento predictivo en el contexto industrial.</t>
  </si>
  <si>
    <t>RA1. Establecer la arquitectura de un modelo de Aprendizaje Automático (ML) (Regresión, Clasificación o NN), definiendo el enfoque (supervisado o no supervisado) adecuado para la solución de un problema ingenieril.                                                                                                                                RA2.   Entrenar un modelo de ML (líneal o no lineal), programando su implementación en C++ para el despliegue eficiente en hardware embebido (TensorFlow Lite).                                                               RA3.    Validar la precisión y el rendimiento de los modelos de ML en un entorno de pruebas, monitoreando su desempeño continuo y la gestión eficiente de los recursos computacionales.</t>
  </si>
  <si>
    <t>RA1. Elaborar la estructura de una Red Neuronal Profunda (DNN), analizando los requerimientos de Big Data y las operaciones matriciales/tensoriales necesarias para el desarrollo de soluciones de IA Generativa.                                                                                                                                                                            RA2.      Simular modelos de Redes Convolucionales (CNN) o Recurrentes (RNN) usando frameworks (PyTorch o TensorFlow), integrando la gestión eficiente de Big Data.                                             RA3.     Demostrar la operación de los modelos de Deep Learning en aplicaciones de visión artificial o series temporales, validando la respuesta de los modelos transformadores en tiempo real.</t>
  </si>
  <si>
    <t>RA1. Analizar los requerimientos de la experiencia de usuario (UX/UI), definiendo los principios de Geometría del Espacio 3D y de Realidad Virtual/Aumentada para la creación de un entorno dinámico.	                                                                                                                                                                            RA2. Diseñar una interacción de interfaz invisible (seguimiento ocular/gestual), utilizando motores de juego (Unity/Unreal) para construir un entorno tridimensional dinámico y funcional.	                                                                                                                                                                                  RA3. Evaluar la empatía hacia la experiencia del usuario de la interfaz, gestionando la eficiencia en el uso de los recursos de hardware frente a la demanda computacional del entorno 3D dinámico.</t>
  </si>
  <si>
    <t xml:space="preserve">Ley de Faraday  y la Ley de Ampère Transformadores, Máquinas Asíncronas y Máquinas Síncronas </t>
  </si>
  <si>
    <t>Máquinas Eléctricas y Laboratorio</t>
  </si>
  <si>
    <t xml:space="preserve">Topologías de convertidores (DC-DC, DC-AC, AC-DC) en estado estacionario,  transitorios de conmutación, semiconductores, circuitos de disparo. </t>
  </si>
  <si>
    <t>Electrónica de Potencia y Laboratorio</t>
  </si>
  <si>
    <t>Modelado de sistemas físicos. Análisis de lazo abierto y lazo cerrado. Análisis de estabilidad (Routh-Hurwitz). Diseño de controladores clásicos (PID). Introducción a la programación de bajo nivel para sistemas de control.</t>
  </si>
  <si>
    <t>Control I y Laboratorio</t>
  </si>
  <si>
    <t>Análisis y diseño de control en el dominio de la frecuencia (Bode, Nyquist). Diseño de compensadores (Lead-Lag). Introducción al espacio de estados (modelado, controlabilidad y observabilidad).</t>
  </si>
  <si>
    <t>Control II y Laboratorio</t>
  </si>
  <si>
    <t>Control Robusto o Predictivo (MPC). Aplicación de Inteligencia Artificial y Ciencia de Datos en el lazo de control para auto-adaptación y optimización.</t>
  </si>
  <si>
    <t xml:space="preserve">Electiva Control Avanzado </t>
  </si>
  <si>
    <t>Clasificación y propiedades de Sistemas Lineales e Invariantes en el Tiempo (LTI). Análisis de señales mediante Series y Transformada de Fourier y de Laplace. Fundamentos de filtrado adaptativo.</t>
  </si>
  <si>
    <t>Señales y Sistemas y Laboratorio</t>
  </si>
  <si>
    <t>Visión artificial y procesamiento digital de imágenes. Implementación de aprendizaje automático en el borde (Edge AI) para detección de anomalías y diagnóstico autónomo de fallas.</t>
  </si>
  <si>
    <t>Electiva Procesamiento inteligente de señales</t>
  </si>
  <si>
    <t>Muestreo y Reconstrucción, Análisis en el Dominio del Tiempo, Sistemas LTI Discretos, Análisis en el Dominio Z</t>
  </si>
  <si>
    <t>Digital signal Processing I And Laboratory</t>
  </si>
  <si>
    <t>Transformada Discreta de Fourier (DFT. Transformada Rápida de Fourier (FFT). Análisis Espectral Práctico. Modulación y Demodulación Digital. Ecualización de Canal. Introducción al Radio Definido por Software (SDR)</t>
  </si>
  <si>
    <t>RA1. Diseñar  un nodo inteligente, considerando los principios de eficiencia energética en máquinas asíncronas y síncronas.                                                                                                                                     RA2. Construir  circuitos de conmutación necesarios para la gestión eficiente de lacorriente en convertidores trifásicos, alineado con las tendencias del IIoT.                                                                          RA3.Mantener el funcionamiento óptimo de transformadores y máquinas eléctricas, siguiendo normativas técnicas para garantizar la puesta en marcha de los sistemas de automatización.</t>
  </si>
  <si>
    <t>RA1. Formular un sistema de conversión (DC-DC o DC-AC) mediante especificaciones técnicas, seleccionando los semiconductores de potencia y la topología más eficiente para una aplicación dada.                                                                                                                                                                                             RA2. Simular circuitos de disparo que controlen transitorios y el estado estacionario de convertidores, logrando una interfaz robusta y regulada.                                                                                   RA3. Desarrollar el montaje e instalación de convertidores de potencia, ajustando los parámetros de conmutación y verificando el cumplimiento de los lineamientos técnicos de operación.</t>
  </si>
  <si>
    <t>RA1. Modelar un sistema físico a través de ecuaciones diferenciales y la función de transferencia, justificando la elección del controlador clásico (PID) para satisfacer requisitos de estabilidad (Routh-Hurwitz).                                                                                                                                                                           RA2.  Programar un controlador PID discretizado en lenguaje C/C++ para un microcontrolador, asegurando la eficiencia de la lógica de control para respuestas en tiempo real.                                           RA3. Calibrar los parámetros de un controlador PID en un entorno simulado o físico, monitoreando su desempeño para optimizar la respuesta del sistema de automatización.</t>
  </si>
  <si>
    <t>RA1. Diseñar un sistema de control, identificando  las necesidades de desempeño y delineando la aproximación (dominio de la frecuencia o espacio de estados) más adecuada para la mejora de la respuesta dinámica.                                                                                                                                                                 RA2.  Construir la estructura de un sistema de control basado en el espacio de estados, mediante el modelamiento y analisis del comportamiento de compensadores (Lead-Lag) para garantizar la controlabilidad y observabilidad del sistema.                                                                                                                                                                                          RA3.  Verificar el comportamiento de los algoritmos de control avanzados en un banco de pruebas, ajustando los parámetros para lograr una puesta en marcha exitosa en equipos de automatización.</t>
  </si>
  <si>
    <t>RA1. Proponer la estrategia de control óptimo (Predictivo o Robusto) para un proceso industrial, justificando la integración de algoritmos de Inteligencia Artificial (IA) para la auto-adaptación.                                                                                                                                                                  	 RA2.  Desarrollar un algoritmo de control avanzado, integrando simulación y componentes de IA y Ciencia de Datos mediante para la optimización autónoma del lazo de control.	                                                                          RA3. Configurar el desempeño continuo de los sistemas de automatización complejos, monitoreando la eficacia de las estrategias de control avanzado frente a perturbaciones.</t>
  </si>
  <si>
    <t>RA1. Analizar señales aplicando la Transformada de Fourier o Laplace para la clasificación y determinación de la respuesta en frecuencia de Sistemas LTI.                                                                               RA2.  Desarrollar  la lógica de un filtro adaptativo, incorporando un programa con fundamentos de procesamiento digital de señales y Edge AI para el diagnóstico de fallas.                                                        RA3.   Comprobar el desempeño de las tecnologías de procesamiento de señales (como visión artificial) en la detección de anomalías, verificando la robustez y capacidad de diagnóstico autónomo del sistema.</t>
  </si>
  <si>
    <t>RA1. Definir la arquitectura de un sistema inteligente (Visión Artificial o Edge AI) para la identificación y diagnóstico autónomo de fallas en equipos electrónicos industriales.                                   RA2. Programar Algoritmos de Aprendizaje Automático (Machine Learning/Deep Learning) para su despliegue eficiente en plataformas embebidas con recursos limitados.                                                      RA3. Mantener la operación de los sistemas electrónicos inteligentes, emitiendo un diagnóstico predictivo de fallas en tiempo real a partir del análisis de las señales.</t>
  </si>
  <si>
    <t>Ondas planas, polarización, reflexión y la refracción</t>
  </si>
  <si>
    <t>La antena y los medios guiados, guía de onda. Calculo de patrones de radiación, ganancia y directividad. Propagación de luz en fibra, amplificadores ópticos (EDFA), láseres y fotodetectores y redes ópticas pasivas (PON)</t>
  </si>
  <si>
    <t>Transformada de Fourier, el muestreo y la convolución. Fundamentos de modulación AM y FM, ruido térmico y arquitecturas de receptores superheterodinos modulaciones como QAM, PSK y OFDM. Detección óptima de señales en ruido, constelación de señales y eficiencia espectral</t>
  </si>
  <si>
    <t>Arquitecturas de IoT, protocolos ligeros (MQTT, CoAP), redes de área amplia de baja potencia (LPWAN como LoRa y Sigfox)</t>
  </si>
  <si>
    <t xml:space="preserve"> Regulación, (ANE)(CRC) planificación del espectro radioeléctrico, Redes de microondas terrestres, Redes satelitales, presupuestos de potencia y órbitas (GEO, LEO, MEO) Arquitecturas de red movil, tecnologías de acceso masivo (Massive MIMO), beamforming y segmentación de red (Network Slicing).</t>
  </si>
  <si>
    <t>Redes LAN, AN. modelo OSI, la arquitectura TCP/IP, direccionamiento IPv4/IPv6, enrutamiento y conmutación. Protocolos de aplicación, seguridad en redes y servicios web</t>
  </si>
  <si>
    <t>Espacio Académico</t>
  </si>
  <si>
    <t>Programa</t>
  </si>
  <si>
    <t>Ingeniería Electrónica</t>
  </si>
  <si>
    <t>Ingeniería Mecatrónica</t>
  </si>
  <si>
    <t>Circuitos y Laboratorio</t>
  </si>
  <si>
    <t>Semiconductores, diodos, transistores BJT/MOSFET como interruptores y amplificadores, Amplificadores operacionales acondicionamiento de señales y diseño de filtros activos.</t>
  </si>
  <si>
    <t>Introducción a la sensórica y actuadores, principios de funcionamiento (analógicos y digitales). Acondicionamiento de señales de sensores (puentes de Wheatstone, amplificación). Interfaz con microcontroladores (ADC, PWM, comunicación serial). Actuadores comunes (motores DC, paso a paso, servomotores). Sistemas de control básico y lazo cerrado. Aplicaciones en automatización e IoT.</t>
  </si>
  <si>
    <t>RA1.Identificar los pilares éticos, de sostenibilidad y de gestión de proyectos, definiendo la ruta de desarrollo profesional alineada con el perfil del egresado.                                                                                                      RA2. Planificar las fases y los entregables iniciales de un proyecto ingenieril, aplicando metodologías formales de organización de recursos.	                                                                                                  RA3.Reflexionar críticamente sobre el impacto de la Ingeniería Electrónica en el desarrollo social, adhiriéndose a los principios éticos y la responsabilidad social.</t>
  </si>
  <si>
    <t>RA1. Analizar el comportamiento en régimen transitorio y estacionario de circuitos con elementos pasivos (R, L, C), empleando las Leyes de Kirchhoff y los teoremas de reducción.                                                RA2. Calcular experimentalmente el flujo decorriente y las caídas de tensión en puntos clave, aplicando los teoremas de reducción de circuitos.                                           	                                                                 RA3. Diseñar esquemáticos de circuitos básicos  validando su respuesta ante cargas dinámicas, demostrando la habilidad de predecir el comportamiento del sistema.</t>
  </si>
  <si>
    <t>RA1. Analizar el funcionamiento de dispositivos semiconductores (diodos, transistores) como interruptores y amplificadores, identificando su modelo matemático y sus estados de operación.                 RA2. Diseñar circuitos de acondicionamiento de señales y filtros activos (Analog Front-End), seleccionando y configurando circuitos integrados complejos.                                                                                                                                RA3. Crear  prototipos electrónicos mediante instrumentación avanzada y simuladores, comparando las mediciones con los parámetros de las hojas de datos (datasheets).</t>
  </si>
  <si>
    <t>RA1. Diseñar la arquitectura electrónica y el algoritmo de control necesarios para la integración de un sistema de sensórica y actuación con un sistema electrónico definiendo las interfaces de hardware y software.                                                                                                                                                                                   RA2. Integrar el sensor y actuador para una necesidad de automatización específica (e.g., control de temperatura, posicionamiento), justificando la elección en función de los principios físicos y las especificaciones técnicas (datasheet).                                                                                                                                                                                             RA3.Construir  un prototipo que demuestre la funcionalidad del sistema sensor-actuador-control, calibrando los componentes y verificando su desempeño en condiciones de laboratorio.</t>
  </si>
  <si>
    <t>RA1. Establecer los objetivos y el alcance de un proyecto de I+D+i, formulando los requisitos funcionales y no funcionales para la solución de necesidades del cliente.	                                                         RA2. Proyectar un sistema electrónico simulando su comportamiento (e.g., control con MPPT/PLL) y diseñando la Placa de Circuito Impreso (PCB) en software CAD profesional (Altium/KiCad).           RA3. Ejecutar la fase de pruebas y puesta en marcha del sistema, validando el diseño con instrumentación (osciloscopio etc.) y documentando los resultados.</t>
  </si>
  <si>
    <t xml:space="preserve"> Aolicaciones con arquitecturas de microcontroladores (ARM, RISC-V). Programación de bajo nivel (C/C++) . Co-diseño hardware-software y consideraciones de presupuesto energético. Ciberseguridad en Firmware.</t>
  </si>
  <si>
    <t>Electiva Desarrollo de soluciones embebidas</t>
  </si>
  <si>
    <t>RA1. Determinar la arquitectura de procesamiento adecuada (ARM, RISC-V o FPGA), planificando la gestión de memoria y el presupuesto energético para el co-diseño de una solución eficiente, segura y adaptable (Edge Computing/TinyML).	                                                                                                            RA2. Programar soluciones embebidas en C/C++ de bajo nivel (orientado a registros) y utilizando RTOS, implementando la gestión de periféricos (ADC, UART, SPI) para el acondicionamiento de señales y la comunicación del sistema.	                                                                                                                    RA3. Mantener el desempeño del firmware, aplicando principios de ciberseguridad y gestionando eficientemente la memoria para el desarrollo de soluciones autónomas que permitan predecir fallas y optimizar sistemas.</t>
  </si>
  <si>
    <t>Control Automático Analógico y Laboratorio</t>
  </si>
  <si>
    <t>Fundamentos de Automatización y Lógica Cableada, Tecnologías de Actuación y Sensórica, Controladores Lógicos Programables (PLC), Sistemas Integrados y Redes Industriales, Metodologías de Diseño y Seguridad</t>
  </si>
  <si>
    <t>Descripción de sitemas de manufactura, Manufactura Modular, Manufactura Flexible y Robótica, Arquitectura de Industria 4.0 e IIoT, Sistemas Inteligentes y Gemelos Digitales, Integración Vertical y Horizontal</t>
  </si>
  <si>
    <t>Fundamentos y Morfología del Robot, Cinemática y Dinámica (Modelado Matemático), Programación y Control de Movimiento, Integración y Seguridad en Celdas de Manufactura</t>
  </si>
  <si>
    <t xml:space="preserve">Fundamentos y Formulación de Modelos, Optimización Clásica (Determinista), Programación Lineal, Metaheurísticas y Optimización Moderna, Optimización Multiobjetivo y Aplicada </t>
  </si>
  <si>
    <t>Diseño de Sistemas Óptimos y Laboratorio</t>
  </si>
  <si>
    <t>RA1.   Analizar los requerimientos de un proceso de manufactura para la selección y dimensión de los componentes (sensores, actuadores, PLC, redes), alineado con las especificaciones de seguridad industrial.                                                                                                                                                                                                RA2.   Desarrollar la lógica de control cableada y programada (PLC) para la orquestación de un sistema automatizado, asegurando el cumplimiento de las secuencias operacionales.                                                                                                                                                                                                 RA3. Construir un sistema de automatización basado en PLC y redes industriales, verificando su correcto funcionamiento y resolviendo fallas en un entorno de producción simulado o real.</t>
  </si>
  <si>
    <t>RA1.    Diseñar la arquitectura de un sistema de manufactura, incorporando tecnologías de Industria 4.0 (IIoT, Gemelos Digitales) para la optimización de procesos.                                                                                                                                                                                               RA2.   Desarrollar un modelo de Gemelo Digital de un proceso de manufactura, utilizando herramientas de simulación para su validación y reconfiguración de líneas de producción antes de la implementación física.                                                                                                                                                                                                 RA3.Integrar sistemas ciber-físicos complejos (incluyendo cobótica) en una línea de producción, gestionando la información de nodos inteligentes para la toma de decisiones.</t>
  </si>
  <si>
    <t>RA1.   Analizar una tarea industrial (e.g., pick-and-place, soldadura) para la seleccipón del robot en una celda de manufactura, considerando la seguridad y el razonamiento espacial.                                                                                                                                                                                                RA2.        Modelar el comportamiento cinemático (directo e inverso) de un robot industrial, e implementar algoritmos de programación de movimiento que garanticen trayectorias fluidas y seguras en un entorno de simulación o hardware real.                                                                                                                                                                                            RA3.Realizar un sistema robótico industrial dentro de una celda de manufactura, verificando la integración del hardware y software para el cumplimiento eficiente de la tarea asignada.</t>
  </si>
  <si>
    <t>RA1.  Formular un problema de ingeniería (e.g., control, ruteo o diseño) como un modelo de optimización, identificando las variables de decisión, la función objetivo y las restricciones del sistema.                                                                                                                                                                                                 RA2. Implementar técnicas de optimización (clásica, programación lineal o metaheurística) para resolver un problema de ingeniería, estructurando la lógica de un algoritmo iterativo.                                                                                                                                                                                                RA3.   Aplicar la solución de optimización en un contexto práctico (simulación o banco de pruebas) demostrando la mejora en el desempeño del sistema (e.g., reducción de costos, aumento de eficiencia o respuesta de control).</t>
  </si>
  <si>
    <t>Redes de
Comunicaciones
para IoT
y Laboratorio</t>
  </si>
  <si>
    <t>Fundamentos de Normalización y Geometría, normas internacionales (ISO/ASME), simbología, Dimensionamiento Geométrico y Tolerancias (GD&amp;T), teoría de proyecciones, cortes y secciones, acotación, ajustes y tolerancias</t>
  </si>
  <si>
    <t>Dibujo Mecánico</t>
  </si>
  <si>
    <t>Fundamentos Estructurales y Mecánicos, estructura atómica y cristalina, propiedades mecánicas básicas, familias de materiales, procesamiento y Modificación de propiedades, diagrama de fases hierro-carbono, tratamientos térmicos, procesos de endurecimiento.</t>
  </si>
  <si>
    <t xml:space="preserve">Mecánica vectorial, álgebra de vectores, equilibrio de partículas, equilibrio del cuerpo rígido, momentos (torques), Diagramas de Cuerpo Libre (DCL), análisis de estructuras, centroides y centros de gravedad, </t>
  </si>
  <si>
    <t xml:space="preserve">Cinemática de partículas, cinemática del cuerpo rígido, aceleraciones relativas, </t>
  </si>
  <si>
    <t>Esfuerzo y deformación, torsión flexión, deflexión, círculo de Mohr, teorías de falla estática, pandeo en columnas, factor de Seguridad.</t>
  </si>
  <si>
    <t>RA1.   Analizar los requerimientos funcionales de un componente mecánico para seleccionar y aplicar las normas internacionales (ISO/ASME) y el sistema de acotación (GD&amp;T) adecuado para su manufactura e inspección, alineado con la tendencia de la Definición Basada en el Modelo (MBD).                                                                                                                                                                                                RA2.         Utilizar software CAD para crear modelos 3D y generar planos técnicos de conjunto y despiece (listas de materiales), aplicando la MBD para facilitar la integración en procesos de ingeniería y la comunicación en el ecosistema de información ciberfísico.                                                                                                                                                                                           RA3.    Interpretar planos mecánicos complejos con GD&amp;T y tolerancias de ajuste, determinando la viabilidad de ensamblaje y la compatibilidad de las especificaciones de diseño con los procesos de control de calidad industrial.</t>
  </si>
  <si>
    <t>RA1.    Evaluar los requerimientos de servicio (mecánicos, térmicos, eléctricos) de un sistema mecatrónico para seleccionar la familia de materiales (incluyendo aleaciones ligeras o compuestos) más adecuada, justificando la elección en función de su ciclo de vida y las tendencias de bioimpresión o metamateriales.                                                                                                                                                                                               RA2.      Determinar y modelar los procesos de modificación de propiedades (e.g., tratamientos térmicos, endurecimiento) necesarios para que un material cumpla con los criterios de diseño, utilizando diagramas de fase para predecir su comportamiento estructural.                                                                                                                                                                                              RA3.   Clasificar y caracterizar experimentalmente las propiedades mecánicas, eléctricas o magnéticas de una muestra de material, interpretando los resultados de laboratorio para verificar si el material cumple con las especificaciones requeridas para el desarrollo de sistemas ciber-físicos.</t>
  </si>
  <si>
    <t>RA1.   Analizar un sistema mecatrónico (estructura, mecanismo) e identificar las fuerzas y momentos actuantes, formulando el problema mediante Diagramas de Cuerpo Libre (DCL) para establecer las condiciones de equilibrio de cuerpos rígidos y partículas.                                                                                                                                                                                                RA2.     Diseñar las estructuras de soporte o mecanismos de un sistema mecatrónico, aplicando el álgebra vectorial y el concepto de centroides para garantizar la estabilidad estática del conjunto y predecir su comportamiento antes de la construcción física (alineado con la tendencia de Gemelos Digitales y Model-Based Design).                                                                                                                                                                                               RA3.   Construir y validar experimentalmente la condición de equilibrio de estructuras mediante pruebas de laboratorio, comparando los resultados experimentales con los modelos teóricos para verificar la viabilidad física del diseño.</t>
  </si>
  <si>
    <t>RA1.   Analizar el movimiento (cinemática) de los elementos de un sistema mecatrónico (partículas o cuerpos rígidos) e identificar las interacciones dinámicas mediante el uso de leyes de Newton o ecuaciones de Euler para establecer el modelo de comportamiento.                                                                                                                                                                                                RA2.    Modelar y simular el comportamiento dinámico de un mecanismo o sistema ciberfísico, utilizando motores de física en tiempo real (como en Unity o NVIDIA Omniverse) para validar trayectorias de movimiento, cargas inerciales y las ecuaciones de Euler antes de la implementación física.                                                                                                                                                                                                RA3. Poner en marcha un prototipo o mecanismo y medir su respuesta dinámica (velocidad, aceleración), contrastando los datos experimentales con el modelo teórico para diagnosticar el desempeño y predecir el comportamiento mecánico del sistema.</t>
  </si>
  <si>
    <t>RA1.     Analizar un componente mecatrónico sometido a estados tensionales complejos (flexión, torsión, cortante), determinando el punto crítico y aplicando las teorías de falla estática (Círculo de Mohr) para definir los requisitos de seguridad y eficiencia.                                                                                                                                                                                              RA2.     Dimensionar elementos mecánicos (ejes, vigas, columnas) bajo criterios de factor de seguridad, estabilidad y rigidez (deflexiones), utilizando herramientas de Análisis de Elementos Finitos (FEA) para la validación rápida de iteraciones de diseño, alineado con la tendencia de simulación multifísica.                                                                                                                                                                                               RA3.      Realizar ensayos de laboratorio para medir la resistencia, deformación y deflexión de elementos bajo carga, contrastando los resultados experimentales con los cálculos teóricos para evaluar la viabilidad del diseño y el riesgo de pandeo, asegurando que el sistema cumpla con las especificaciones de seguridad.</t>
  </si>
  <si>
    <t>Modelado 3D de Sistemas Integrados. Selección de Actuadores y Sensores. Arquitecturas de sistemas ciberfísicos.</t>
  </si>
  <si>
    <t>Proyectos de primer nivel de complejidad. Metodologías ágiles (SCRUM). Documentación técnica y estándares ISO.</t>
  </si>
  <si>
    <t>Implementación de sistemas embebidos. Control digital. Diseño de interfaces. Simulación y validación de prototipos. Diseño estatico y dinámico de prototipo elaborado en 3D</t>
  </si>
  <si>
    <t>Integración de visión artificial. Desarrollo de algoritmos de navegación y localización (SLAM). Diseño mecánico teniendo en cuenta la resitencia del material del  prototipo.</t>
  </si>
  <si>
    <t>Proyecto integral de alta complejidad. Análisis de viabilidad financiera y ambiental. Presentación y defensa de proyecto. Construcción mecánica del prototipo</t>
  </si>
  <si>
    <t>Metodologías de investigación científica. Revisión bibliográfica y estado del arte. Ética en la investigación.</t>
  </si>
  <si>
    <t>Desarrollo final y ejecución del proyecto de grado. Elaboración de memoria técnica.</t>
  </si>
  <si>
    <t>Definición y Alcance de Proyectos de Ingeniería Mecatrónica (I+D+i). Análisis de Mercado y Viabilidad Técnica/Económica. Metodologías de Evaluación Financiera (VAN, TIR, Payback). Matriz de Marco Lógico y Gestión de Riesgos. Impacto Social y Ambiental de Proyectos.</t>
  </si>
  <si>
    <t>Formulación y evaluación de proyectos</t>
  </si>
  <si>
    <t>RA1. (Concebir): Definir  los requerimientos funcionales y las viabilidades (técnica, social, ambiental) de un proyecto mecatrónico de complejidad inicial, aplicando metodologías ágiles (SCRUM) para la planificación y el pensamiento sistémico.                                                                                                                                                                                                  RA2.  (Diseñar): Desarrollar la solución integral de un sistema o producto mecatrónico (primer nivel), generando la documentación técnica requerida (normas ISO) y estableciendo el proceso de integración hardware/software del proyecto.                                                                                                                                                                                                  RA3. (Implementar/Operar): Construir el prototipo funcional del proyecto, demostrando su operación bajo condiciones de prueba y documentando los resultados de validación.</t>
  </si>
  <si>
    <t>RA1. (Concebir): Analizar el modelo dinámico de un sistema para definir los algoritmos de control digital y la lógica del sistema embebido (Microcontroladores/PLCs) que permitan el control de sus componentes.                                                                                                                                                                                                  RA2.   (Diseñar): Diseñar el Hardare y software de un sistema mecatrónico, implementando programación y utilizando simulación para la validación del prototipo en 3D.                                                                                                                                                                                                 RA3.(Implementar/Operar): Poner en marcha un sistema embebido con control digital, demostrando la integración de hardware y software, y realizando pruebas experimentales para validar la funcionalidad y estabilidad del control en el prototipo físico.</t>
  </si>
  <si>
    <t>RA1.  (Concebir): Analizar un problema de Robótica Colaborativa (Cobots) o vehículo autónomo (tendencia IIoT) para determinar los requerimientos de percepción (visión artificial) y movilidad (cinemática/dinámica).                                                                                                                                                                                                 RA2.  (Diseñar): Desarrollar algoritmos de navegación y localización (SLAM) e integrarlos con sistemas de visión artificial, al tiempo que se realiza un diseño mecánico detallado del prototipo considerando la resistencia del material y la manufactura aditiva (3D Printing).                                                                                                                                                                                                  RA3. (Implementar/Operar): Integrar y validar el sistema autónomo (visión y navegación) en un prototipo funcional, demostrando la operación segura, eficiente y robusta en un entorno dinámico, aplicando Big Data y Análisis Predictivo para la optimización de la operación.</t>
  </si>
  <si>
    <t>RA1.  (Concebir): Realizar un análisis de viabilidad técnica, financiera, social y ambiental completo para un proyecto integral de alta complejidad, estableciendo el alcance y la gestión de riesgos para la solución de un reto de ingeniería industrial.                                                                                                                                                                                                 RA2.  (Diseñar): Diseñar integralmente (mecánico, electrónico, control, software) un proyecto, integrando (CAD, control robusto, redes industriales) para generar una solución mecatrónica.                                                                                                                                                                                                  RA3. (Implementar/Operar): Construir el prototipo físico final ante un panel evaluador, demostrando el desempeño operativo, la seguridad y la justificación de la inversión (viabilidad financiera).</t>
  </si>
  <si>
    <t>RA1.      (Concebir): Formular un problema de investigación científica relacionado con las tendencias mecatrónicas (e.g., IIoT, Gemelos Digitales) y realizar una revisión bibliográfica exhaustiva para determinar el estado del arte y la ética en la investigación.                                                                                                                                                                                             RA2.     Diseñar): Diseñar una metodología de investigación rigurosa, seleccionando las técnicas de recolección y análisis de datos (Big Data y Análisis Predictivo) adecuadas para generar nuevo conocimiento en el área de la ingeniería mecatrónica.                                                                                                                                                                                               RA3. (Implementar/Operar): Ejecutar el plan de investigación (e.g., simulación, experimento o análisis de datos), documentando el proceso y presentando los resultados de manera clara y profesional, alineado con la competencia de redacción y comunicación técnica avanzada.</t>
  </si>
  <si>
    <t>RA1. Establecer los objetivos y el alcance de un proyecto de I+D+i, formulando los requisitos funcionales y no funcionales para la solución de necesidades del cliente.	                                                         RA2. Proyectar un sistema mecatrónico simulando su comportamiento (e.g., control con MPPT/PLL) y diseñando la Placa de Circuito Impreso (PCB) en software CAD profesional (Altium/KiCad).                                                                                                                                                                         RA3. Ejecutar la fase de pruebas y puesta en marcha del sistema, validando el diseño con instrumentación (osciloscopio etc.) y documentando los resultados.</t>
  </si>
  <si>
    <t>RA1.  Analizar un problema o necesidad de la industria, formulando el alcance y los objetivos de un proyecto de ingeniería mecatrónica (I+D+i), estableciendo los requisitos funcionales y no funcionales, y realizando un análisis preliminar de la viabilidad técnica, social y ambiental.                                                                                                                                                                                                 RA2.  Diseñar la estructura integral de un proyecto, elaborando el plan de ejecución detallado (tiempos, recursos, riesgos), y desarrollando las proyecciones financieras para justificar la inversión mediante métricas como VAN y TIR.                                                                                                                                                                                                       RA3.  Presentar y defender el proyecto integral ante un panel evaluador, demostrando la justificación de la inversión y la gestión efectiva de los riesgos, y articulando el impacto técnico, social y ambiental de la solución propuesta.</t>
  </si>
  <si>
    <t>Desarrollo de Soluciones Mecatrónicas III</t>
  </si>
  <si>
    <t>Desarrollo de Soluciones Mecatrónicas IV</t>
  </si>
  <si>
    <t>Desarrollo de Soluciones Mecatrónicas II</t>
  </si>
  <si>
    <t>Desarrollo de Soluciones Mecatrónicas I</t>
  </si>
  <si>
    <t>Dinámica y Laboratorio</t>
  </si>
  <si>
    <t>Estática y Laboratorio</t>
  </si>
  <si>
    <t>Ingeniería de Materiales</t>
  </si>
  <si>
    <t>Opción de Grado</t>
  </si>
  <si>
    <t>Seminario de Investigación</t>
  </si>
  <si>
    <t>Diseño Mecatrónico</t>
  </si>
  <si>
    <t>Resistencia de Materiales y Laboratorio</t>
  </si>
  <si>
    <t>Sistemas Robóticos Industriales y Laboratorio</t>
  </si>
  <si>
    <t>Sistemas Integrados de Manufactura II y Laboratorio</t>
  </si>
  <si>
    <t>Sistemas Integrados de Manufactura I</t>
  </si>
  <si>
    <t>Control Automático Digital y Laboratorio</t>
  </si>
  <si>
    <t>Sensores y Actuadores y Laboratorio</t>
  </si>
  <si>
    <t>Comunicaciones II y Laboratorio</t>
  </si>
  <si>
    <t>Comunicaciones I y Laboratorio</t>
  </si>
  <si>
    <t>Electiva Ingeniería Aplicada</t>
  </si>
  <si>
    <t>Comunicaciones Inalámbricas y Laboratorio</t>
  </si>
  <si>
    <t>Redes de Telecomunicaciones y Laboratorio</t>
  </si>
  <si>
    <t>Digital signal Processing II And Laboratory</t>
  </si>
  <si>
    <t>Introducción a la Ingeniería Mecatrónica</t>
  </si>
  <si>
    <t>Medios de Transmisión y Laboratorio</t>
  </si>
  <si>
    <t>Campos Electromagnéticos y Laboratorio</t>
  </si>
  <si>
    <t>Robótica
industrial y
laboratorio</t>
  </si>
  <si>
    <t>Estructura de los materiales</t>
  </si>
  <si>
    <t>Introducción a
la robótica y
automatización</t>
  </si>
  <si>
    <t>Saber/Saber</t>
  </si>
  <si>
    <t>Saber/Hacer</t>
  </si>
  <si>
    <t>Año</t>
  </si>
  <si>
    <t>Periodo</t>
  </si>
  <si>
    <t>Tecnología en Robotíca y Automatización Industrial</t>
  </si>
  <si>
    <t>RA1.Analizar el comportamiento matemático de señales y sistemas en tiempo discreto (Qué) para el procesamiento digital de información (Para qué) utilizando ecuaciones en diferencias, convolución discreta y la Transformada Z (Cómo).                                                                                                                              RA2.Validar los procesos de conversión Analógico-Digital y Digital-Analógico (Qué) para garantizar la fidelidad de la señal y evitar el fenómeno de aliasing (Para qué) aplicando el teorema de muestreo de Nyquist y técnicas de reconstrucción ideal y práctica (Cómo).                                                                       RA3.Elaborar algoritmos básicos de procesamiento en el dominio del tiempo (Qué) para realizar operaciones de filtrado y correlación en secuencias de datos (Para qué) mediante el desarrollo de software de simulación matemática o scripts de programación (Cómo).</t>
  </si>
  <si>
    <t>RA1.Diseñar filtros digitales con respuesta al impulso finita (FIR) e infinita (IIR) (Qué) para eñ acondicionamiento de señales y la eliminación de componentes frecuenciales no deseados (Para qué) utilizando métodos de enventanado y algoritmos de optimización espectral (Cómo).                                                                                                                                                         RA2.Aplicar técnicas de análisis espectral y transformada rápida de Fourier (FFT) (Qué) para la caracterización del contenido frecuencial de señales de telecomunicaciones en tiempo real (Para qué) empleando hardware de procesamiento digital (DSP/FPGA) o software de ingeniería (Cómo).                                                                                                                                                                                                        RA3.Integrar algoritmos de procesamiento digital avanzado en sistemas de comunicación (Qué) para la compensación de distorsiones del canal y mejorar la recepción (Para qué) implementando ecualizadores, bancos de filtros y técnicas multitasa en entornos de Radio Definido por Software (SDR) (Cómo).</t>
  </si>
  <si>
    <t>RA1.Analizar los fenómenos de propagación de ondas planas y las ecuaciones de Maxwell (Qué) para predecirla predicción del comportamiento de los campos en diferentes medios de transmisión (Para qué) mediante la resolución matemática y la simulación computacional de escenarios electromagnéticos (Cómo).                                                                                                                                                                                                                RA2. Caracterizar los parámetros de reflexión, refracción y polarización de la onda (Qué) para determinar la viabilidad teórica de un enlace de radiofrecuencia (Para qué) a través del cálculo de coeficientes y el modelado de fronteras entre medios dieléctricos (Cómo).                                                                                RA3.Evaluar la distribución e intensidad de los campos eléctricos y magnéticos en el entorno (Qué) para el cumplimiento de normativas de seguridad y compatibilidad electromagnética (Para qué) utilizando instrumentos de medición de campo y comparando con los límites de exposición permitidos (Cómo).</t>
  </si>
  <si>
    <t>RA1.Diseñar sistemas de transmisión guiados (cobre/fibra) y no guiados (Qué) para garantizar la transferencia eficiente decorriente e información (Para qué) calculando enlaces de potencia, atenuación y adaptación de impedancias en la línea (Cómo).                                                                                                           RA2. Seleccionar antenas y sistemas radiantes  (Qué) para el calculo de la cobertura y directividad en un sistema de telecomunicaciones (Para qué) basándose en la interpretación de patrones de radiación, ganancia y especificaciones técnicas de fabricantes (Cómo).                                                                                                   RA3.Diagnosticar el estado físico y operativo de enlaces de fibra óptica y cableado estructurado (Qué) para el mantenimiento de la continuidad del servicio de red (Para qué) empleando instrumentación especializada como OTDR, certificadores de cableado y analizadores de espectro (Cómo).</t>
  </si>
  <si>
    <t>RA1.Modelar señales determinísticas y aleatorias en los dominios del tiempo y la frecuencia (Qué) para el análisis de sistemas de transmisión analógicos (Para qué) aplicando la Transformada de Fourier, la convolución y teoremas de muestreo (Cómo).                                                                                                        RA2.Elaborar circuitos y algoritmos de modulación y demodulación analógica (AM/FM) (Qué) para la transmisión de señales de voz y audio (Para qué) utilizando arquitecturas de receptores superheterodinos simulados y con prototipos de laboratorio (Cómo).                                                                                RA3.Analizar el impacto del ruido  y las interferencias en el canal de comunicación (Qué) para determinar la fidelidad de la señal recuperada (Para qué) mediante el cálculo y medición de la relación señal a ruido (SNR) y la figura de ruido del sistema (Cómo).</t>
  </si>
  <si>
    <t>RA1.Desarrollar arquitecturas  de Internet de las Cosas (Qué) para la adquisición y gestión de datos en entornos industriales o urbanos (Para qué) integrando sensores, microcontroladores y servicios en la nube mediante protocolos eficientes como MQTT o CoAP (Cómo).                                                                                                                                                                                     RA2.Construir redes de comunicación de bajo consumo y largo alcance (Qué) para la conexión de dispositivos remotos con autonomía energética (Para qué) configurando nodos y gateways sobre tecnologías LPWAN (LoRaWAN/Sigfox) y programación en C/C++ (Cómo).                                                              RA3.Asegurar el ecosistema de dispositivos conectados y el flujo de datos (Qué) para protección de la infraestructura contra vulnerabilidades y accesos no autorizados (Para qué) aplicando cifrado TLS/SSL, gestión de certificados y autenticación robusta desde el borde (Cómo).</t>
  </si>
  <si>
    <t>RA1.Planificar el uso eficiente del espectro radioeléctrico y la topología de red (Qué) para la predicción de viabilidad de cobertura y capacidad de servicios móviles y fijos (Para qué) aplicando la normativa vigente (ANE/CRC) y modelos de propagación para frecuencias de microondas y milimétricas (Cómo).                                                                                                                                                                              RA2.Dimensionar enlaces de telecomunicaciones terrestres y satelitales (Qué) para el establecimiento de conectividad en diferentes escenarios geográficos (Para qué) calculando y considerando parámetros de microondas y de órbitas (GEO/LEO) y tecnologías de acceso (Cómo).                                                                                                                                                                                                RA3.Analizar las tecnologías emergentes en comunicaciones móviles como 5G y 6G (Qué) para la formulación de soluciones de conectividad masiva e inteligente (Para qué) evaluando técnicas de Beamforming, Massive MIMO y gestión dinámica del espectro (Cómo).</t>
  </si>
  <si>
    <t>RA1.Diseñar arquitecturas de red escalables, seguras y convergentes (Qué) para el  soporte de  la demanda de servicios de datos y aplicaciones (Para qué) aplicando los modelos de referencia OSI/TCP-IP y esquemas de direccionamiento IPv4/IPv6 (VLSM) (Cómo).                                                                    RA2.Configurar la infraestructura de enrutamiento y conmutación (Qué) para la distribución del flujo de tráfico y la segmentación lógica de la red (Para qué) implementando protocolos dinámicos (OSPF/BGP), VLANs y políticas de Calidad de Servicio (QoS) (Cómo).                                                                                              RA3.Implementar estrategias de seguridad perimetral y acceso remoto (Qué) para la protección de los activos de información y garantizar la disponibilidad del servicio (Para qué) desplegando Listas de Control de Acceso (ACL), túneles VPN y sistemas de detección de intrusos (Cómo).</t>
  </si>
  <si>
    <t>RA1.Analizar el comportamiento matemático de señales y sistemas en tiempo discreto (Qué) para el procesamiento digital de información (Para qué) utilizando ecuaciones en diferencias, convolución discreta y la Transformada Z (Cómo).                                                                                                                              RA2.Validar los procesos de conversión Analógico-Digital y Digital-Analógico (Qué) para garantizar la fidelidad de la señal y evitar el fenómeno de aliasing (Para qué) aplicando el teorema de muestreo de Nyquist y técnicas de reconstrucción ideal y práctica (Cómo).                                                                       RA3.Implementar algoritmos básicos de procesamiento en el dominio del tiempo (Qué) para realizar operaciones de filtrado y correlación en secuencias de datos (Para qué) mediante el desarrollo de software de simulación matemática o scripts de programación (Cómo).</t>
  </si>
  <si>
    <t>RA1. (Concebir): Analizar un problema definiendo una arquitectura de sistema ciberfísico, seleccionando los actuadores y sensores justificando su interconexión mediante la integración hardware/software.                                                                                                                                                                                               RA2. (Diseñar): Modelar un sistema mecatrónico, aplicando principios de diseño sistémico y cumpliendo con las especificaciones de cinemática y dinámica.                                                                                                                                           RA3. (Implementar/Operar): Integrar de hardware y software en un entorno de simulación o experimental, validando la arquitectura propuesta y la capacidad de respuesta y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</si>
</sst>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family val="2"/>
    </font>
    <font>
      <sz val="8"/>
      <name val="Aptos Narrow"/>
      <family val="2"/>
      <scheme val="minor"/>
    </font>
    <font>
      <b/>
      <sz val="11"/>
      <color theme="1"/>
      <name val="Aptos Narrow"/>
      <family val="2"/>
    </font>
    <font>
      <sz val="9"/>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1" fontId="0" fillId="0" borderId="1" xfId="0" applyNumberFormat="1" applyBorder="1" applyAlignment="1">
      <alignment horizontal="center" vertical="center"/>
    </xf>
    <xf numFmtId="0" fontId="2" fillId="0" borderId="2" xfId="0" applyFont="1" applyBorder="1" applyAlignment="1">
      <alignment horizontal="center" vertical="center" wrapText="1"/>
    </xf>
    <xf numFmtId="0" fontId="0" fillId="0" borderId="3" xfId="0"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0" fontId="5" fillId="0" borderId="0" xfId="0" applyFont="1" applyAlignment="1">
      <alignment vertical="top" wrapText="1"/>
    </xf>
    <xf numFmtId="0" fontId="0" fillId="0" borderId="0" xfId="0" applyAlignment="1">
      <alignment wrapText="1"/>
    </xf>
    <xf numFmtId="0" fontId="0" fillId="0" borderId="0" xfId="0" applyAlignment="1">
      <alignment vertical="center"/>
    </xf>
    <xf numFmtId="0" fontId="1" fillId="0" borderId="0" xfId="0" applyFont="1"/>
    <xf numFmtId="0" fontId="4" fillId="0" borderId="1" xfId="0" applyFont="1" applyBorder="1" applyAlignment="1">
      <alignment horizontal="center" vertical="center"/>
    </xf>
    <xf numFmtId="0" fontId="1" fillId="0" borderId="0" xfId="0" applyFont="1" applyAlignment="1">
      <alignment horizontal="left"/>
    </xf>
    <xf numFmtId="0" fontId="0" fillId="0" borderId="0" xfId="0" applyAlignment="1">
      <alignment horizontal="center" vertical="top"/>
    </xf>
    <xf numFmtId="0" fontId="1" fillId="0" borderId="1" xfId="0" applyFont="1" applyBorder="1" applyAlignment="1">
      <alignment horizontal="center" vertical="center" wrapText="1"/>
    </xf>
    <xf numFmtId="0" fontId="0" fillId="0" borderId="0" xfId="0" applyAlignment="1">
      <alignment horizontal="center" wrapText="1"/>
    </xf>
    <xf numFmtId="0" fontId="1" fillId="0" borderId="1" xfId="0" applyFont="1" applyBorder="1" applyAlignment="1">
      <alignment horizontal="center" vertic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FE63-7F19-4C1C-A2C9-C2FD05AC6564}">
  <dimension ref="B1:S36"/>
  <sheetViews>
    <sheetView workbookViewId="0">
      <selection activeCell="D2" sqref="D2:E2"/>
    </sheetView>
  </sheetViews>
  <sheetFormatPr baseColWidth="10" defaultRowHeight="14.4" x14ac:dyDescent="0.3"/>
  <cols>
    <col min="3" max="3" width="20" bestFit="1" customWidth="1"/>
    <col min="4" max="4" width="38.33203125" customWidth="1"/>
    <col min="5" max="5" width="42.88671875" customWidth="1"/>
    <col min="6" max="6" width="12.44140625" customWidth="1"/>
    <col min="7" max="7" width="43.88671875" customWidth="1"/>
    <col min="9" max="9" width="47.44140625" customWidth="1"/>
    <col min="11" max="11" width="42.6640625" customWidth="1"/>
    <col min="14" max="14" width="12" customWidth="1"/>
    <col min="15" max="15" width="26.88671875" customWidth="1"/>
    <col min="16" max="16" width="25.88671875" customWidth="1"/>
    <col min="17" max="17" width="24.44140625" customWidth="1"/>
    <col min="18" max="18" width="30.5546875" customWidth="1"/>
    <col min="19" max="19" width="28.33203125" customWidth="1"/>
  </cols>
  <sheetData>
    <row r="1" spans="2:19" x14ac:dyDescent="0.3">
      <c r="B1" s="21" t="s">
        <v>136</v>
      </c>
      <c r="C1" s="21"/>
      <c r="D1" s="21" t="s">
        <v>137</v>
      </c>
      <c r="E1" s="21"/>
      <c r="F1" s="14" t="s">
        <v>218</v>
      </c>
      <c r="G1" s="16">
        <v>2026</v>
      </c>
    </row>
    <row r="2" spans="2:19" ht="15" customHeight="1" x14ac:dyDescent="0.3">
      <c r="B2" s="21" t="s">
        <v>135</v>
      </c>
      <c r="C2" s="21"/>
      <c r="D2" s="19" t="s">
        <v>212</v>
      </c>
      <c r="E2" s="19"/>
      <c r="F2" s="14" t="s">
        <v>219</v>
      </c>
      <c r="G2" s="16">
        <v>1</v>
      </c>
    </row>
    <row r="3" spans="2:19" x14ac:dyDescent="0.3">
      <c r="C3" t="str" cm="1">
        <f t="array" ref="C3:C6">TRANSPOSE(_xlfn.TEXTSPLIT(_xlfn.XLOOKUP(D2,Hoja2!E4:E78,Hoja2!F4:F78),  "RA"))</f>
        <v/>
      </c>
    </row>
    <row r="4" spans="2:19" x14ac:dyDescent="0.3">
      <c r="B4" s="1" t="s">
        <v>34</v>
      </c>
      <c r="C4" t="str">
        <v xml:space="preserve">1.Analizar los fenómenos de propagación de ondas planas y las ecuaciones de Maxwell (Qué) para predecirla predicción del comportamiento de los campos en diferentes medios de transmisión (Para qué) mediante la resolución matemática y la simulación computacional de escenarios electromagnéticos (Cómo).                                                                                                                                                                                                                </v>
      </c>
      <c r="O4" s="18" t="s">
        <v>44</v>
      </c>
      <c r="P4" s="18"/>
      <c r="Q4" s="18"/>
      <c r="R4" s="18"/>
      <c r="S4" s="18"/>
    </row>
    <row r="5" spans="2:19" x14ac:dyDescent="0.3">
      <c r="B5" s="1" t="s">
        <v>35</v>
      </c>
      <c r="C5" t="str">
        <v xml:space="preserve">2. Caracterizar los parámetros de reflexión, refracción y polarización de la onda (Qué) para determinar la viabilidad teórica de un enlace de radiofrecuencia (Para qué) a través del cálculo de coeficientes y el modelado de fronteras entre medios dieléctricos (Cómo).                                                                                </v>
      </c>
      <c r="O5" s="18"/>
      <c r="P5" s="18"/>
      <c r="Q5" s="18"/>
      <c r="R5" s="18"/>
      <c r="S5" s="18"/>
    </row>
    <row r="6" spans="2:19" x14ac:dyDescent="0.3">
      <c r="B6" s="1" t="s">
        <v>36</v>
      </c>
      <c r="C6" t="str">
        <v>3.Evaluar la distribución e intensidad de los campos eléctricos y magnéticos en el entorno (Qué) para el cumplimiento de normativas de seguridad y compatibilidad electromagnética (Para qué) utilizando instrumentos de medición de campo y comparando con los límites de exposición permitidos (Cómo).</v>
      </c>
      <c r="O6" s="4" t="s">
        <v>5</v>
      </c>
      <c r="P6" s="4" t="s">
        <v>6</v>
      </c>
      <c r="Q6" s="4" t="s">
        <v>7</v>
      </c>
      <c r="R6" s="4" t="s">
        <v>8</v>
      </c>
      <c r="S6" s="4" t="s">
        <v>9</v>
      </c>
    </row>
    <row r="7" spans="2:19" ht="86.4" x14ac:dyDescent="0.3">
      <c r="B7" s="20" t="s">
        <v>0</v>
      </c>
      <c r="C7" s="20"/>
      <c r="D7" s="9" t="s">
        <v>1</v>
      </c>
      <c r="E7" s="3" t="str">
        <f>_xlfn.CONCAT(B4,C4)</f>
        <v xml:space="preserve">RA1:1.Analizar los fenómenos de propagación de ondas planas y las ecuaciones de Maxwell (Qué) para predecirla predicción del comportamiento de los campos en diferentes medios de transmisión (Para qué) mediante la resolución matemática y la simulación computacional de escenarios electromagnéticos (Cómo).                                                                                                                                                                                                                </v>
      </c>
      <c r="F7" s="9" t="s">
        <v>3</v>
      </c>
      <c r="G7" s="3" t="str">
        <f>_xlfn.CONCAT(B5,C5)</f>
        <v xml:space="preserve">RA2:2. Caracterizar los parámetros de reflexión, refracción y polarización de la onda (Qué) para determinar la viabilidad teórica de un enlace de radiofrecuencia (Para qué) a través del cálculo de coeficientes y el modelado de fronteras entre medios dieléctricos (Cómo).                                                                                </v>
      </c>
      <c r="H7" s="9" t="s">
        <v>2</v>
      </c>
      <c r="I7" s="3" t="str">
        <f>_xlfn.CONCAT(B6,C6)</f>
        <v>RA3:3.Evaluar la distribución e intensidad de los campos eléctricos y magnéticos en el entorno (Qué) para el cumplimiento de normativas de seguridad y compatibilidad electromagnética (Para qué) utilizando instrumentos de medición de campo y comparando con los límites de exposición permitidos (Cómo).</v>
      </c>
      <c r="J7" s="9" t="s">
        <v>15</v>
      </c>
      <c r="K7" s="9" t="s">
        <v>24</v>
      </c>
      <c r="O7" s="15" t="s">
        <v>10</v>
      </c>
      <c r="P7" s="15" t="s">
        <v>11</v>
      </c>
      <c r="Q7" s="15" t="s">
        <v>12</v>
      </c>
      <c r="R7" s="15" t="s">
        <v>13</v>
      </c>
      <c r="S7" s="15" t="s">
        <v>14</v>
      </c>
    </row>
    <row r="8" spans="2:19" ht="115.2" x14ac:dyDescent="0.3">
      <c r="B8" s="7" t="s">
        <v>16</v>
      </c>
      <c r="C8" s="8" t="s">
        <v>17</v>
      </c>
      <c r="D8" s="4"/>
      <c r="E8" s="5" t="str">
        <f>IF(D8&lt;30, _xlfn.CONCAT($O$7:$O$9), IF(D8&lt;=35, _xlfn.CONCAT($P$7:$P$9), IF(D8&lt;=40, _xlfn.CONCAT($Q$7:$Q$9), IF(D8&lt;=45,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8" s="4"/>
      <c r="G8" s="5" t="str">
        <f>IF(F8&lt;30, _xlfn.CONCAT($O$7:$O$9), IF(F8&lt;=35, _xlfn.CONCAT($P$7:$P$9), IF(F8&lt;=40, _xlfn.CONCAT($Q$7:$Q$9), IF(F8&lt;=45,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8" s="4"/>
      <c r="I8" s="5" t="str">
        <f>IF(H8&lt;30, _xlfn.CONCAT($O$7:$O$9), IF(H8&lt;=35, _xlfn.CONCAT($P$7:$P$9), IF(H8&lt;=40, _xlfn.CONCAT($Q$7:$Q$9), IF(H8&lt;=45,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8" s="6">
        <f>D8*0.3+F8*0.3+H8*0.4</f>
        <v>0</v>
      </c>
      <c r="K8" s="5" t="str">
        <f>IF(J8&lt;30, _xlfn.CONCAT($O$7:$O$9), IF(J8&lt;=35, _xlfn.CONCAT($P$7:$P$9), IF(J8&lt;=40, _xlfn.CONCAT($Q$7:$Q$9), IF(J8&lt;=45,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N8" s="13" t="s">
        <v>216</v>
      </c>
      <c r="O8" s="5" t="s">
        <v>25</v>
      </c>
      <c r="P8" s="5" t="s">
        <v>26</v>
      </c>
      <c r="Q8" s="3" t="s">
        <v>39</v>
      </c>
      <c r="R8" s="5" t="s">
        <v>41</v>
      </c>
      <c r="S8" s="5" t="s">
        <v>43</v>
      </c>
    </row>
    <row r="9" spans="2:19" ht="115.2" x14ac:dyDescent="0.3">
      <c r="B9" s="7" t="s">
        <v>16</v>
      </c>
      <c r="C9" s="8" t="s">
        <v>18</v>
      </c>
      <c r="D9" s="4"/>
      <c r="E9" s="5" t="str">
        <f t="shared" ref="E9:E15" si="0">IF(D9&lt;30, _xlfn.CONCAT($O$7:$O$9), IF(D9&lt;=35, _xlfn.CONCAT($P$7:$P$9), IF(D9&lt;=40, _xlfn.CONCAT($Q$7:$Q$9), IF(D9&lt;=45,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9" s="4"/>
      <c r="G9" s="5" t="str">
        <f t="shared" ref="G9:G15" si="1">IF(F9&lt;30, _xlfn.CONCAT($O$7:$O$9), IF(F9&lt;=35, _xlfn.CONCAT($P$7:$P$9), IF(F9&lt;=40, _xlfn.CONCAT($Q$7:$Q$9), IF(F9&lt;=45,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9" s="4"/>
      <c r="I9" s="5" t="str">
        <f t="shared" ref="I9:I15" si="2">IF(H9&lt;30, _xlfn.CONCAT($O$7:$O$9), IF(H9&lt;=35, _xlfn.CONCAT($P$7:$P$9), IF(H9&lt;=40, _xlfn.CONCAT($Q$7:$Q$9), IF(H9&lt;=45,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9" s="6">
        <f t="shared" ref="J9:J14" si="3">D9*0.3+F9*0.3+H9*0.4</f>
        <v>0</v>
      </c>
      <c r="K9" s="5" t="str">
        <f t="shared" ref="K9:K15" si="4">IF(J9&lt;30, _xlfn.CONCAT($O$7:$O$9), IF(J9&lt;=35, _xlfn.CONCAT($P$7:$P$9), IF(J9&lt;=40, _xlfn.CONCAT($Q$7:$Q$9), IF(J9&lt;=45, _xlfn.CONCAT($R$7:$R$9), _xlfn.CONCAT($S$7:$S$9)))))</f>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N9" s="13" t="s">
        <v>217</v>
      </c>
      <c r="O9" s="5" t="s">
        <v>38</v>
      </c>
      <c r="P9" s="5" t="s">
        <v>27</v>
      </c>
      <c r="Q9" s="5" t="s">
        <v>40</v>
      </c>
      <c r="R9" s="5" t="s">
        <v>42</v>
      </c>
      <c r="S9" s="5" t="s">
        <v>28</v>
      </c>
    </row>
    <row r="10" spans="2:19" ht="144" x14ac:dyDescent="0.3">
      <c r="B10" s="7" t="s">
        <v>16</v>
      </c>
      <c r="C10" s="8" t="s">
        <v>19</v>
      </c>
      <c r="D10" s="4"/>
      <c r="E10" s="5" t="str">
        <f t="shared" si="0"/>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10" s="4"/>
      <c r="G10" s="5" t="str">
        <f t="shared" si="1"/>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10" s="4"/>
      <c r="I10" s="5" t="str">
        <f t="shared" si="2"/>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10" s="6">
        <f t="shared" si="3"/>
        <v>0</v>
      </c>
      <c r="K10"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N10" s="10" t="s">
        <v>37</v>
      </c>
      <c r="O10" s="11" t="s">
        <v>29</v>
      </c>
      <c r="P10" s="11" t="s">
        <v>30</v>
      </c>
      <c r="Q10" s="11" t="s">
        <v>31</v>
      </c>
      <c r="R10" s="11" t="s">
        <v>32</v>
      </c>
      <c r="S10" s="11" t="s">
        <v>33</v>
      </c>
    </row>
    <row r="11" spans="2:19" ht="90" customHeight="1" x14ac:dyDescent="0.3">
      <c r="B11" s="7" t="s">
        <v>16</v>
      </c>
      <c r="C11" s="8" t="s">
        <v>20</v>
      </c>
      <c r="D11" s="4"/>
      <c r="E11" s="5" t="str">
        <f t="shared" si="0"/>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11" s="4"/>
      <c r="G11" s="5" t="str">
        <f t="shared" si="1"/>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11" s="4"/>
      <c r="I11" s="5" t="str">
        <f t="shared" si="2"/>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11" s="6">
        <f t="shared" si="3"/>
        <v>0</v>
      </c>
      <c r="K11"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O11" s="17"/>
    </row>
    <row r="12" spans="2:19" ht="90" customHeight="1" x14ac:dyDescent="0.3">
      <c r="B12" s="7" t="s">
        <v>16</v>
      </c>
      <c r="C12" s="8" t="s">
        <v>21</v>
      </c>
      <c r="D12" s="4"/>
      <c r="E12" s="5" t="str">
        <f t="shared" si="0"/>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12" s="4"/>
      <c r="G12" s="5" t="str">
        <f t="shared" si="1"/>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12" s="4"/>
      <c r="I12" s="5" t="str">
        <f t="shared" si="2"/>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12" s="6">
        <f t="shared" si="3"/>
        <v>0</v>
      </c>
      <c r="K12"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O12" s="17"/>
    </row>
    <row r="13" spans="2:19" ht="75" customHeight="1" x14ac:dyDescent="0.3">
      <c r="B13" s="7" t="s">
        <v>16</v>
      </c>
      <c r="C13" s="8" t="s">
        <v>22</v>
      </c>
      <c r="D13" s="4"/>
      <c r="E13" s="5" t="str">
        <f t="shared" si="0"/>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13" s="4"/>
      <c r="G13" s="5" t="str">
        <f t="shared" si="1"/>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13" s="4"/>
      <c r="I13" s="5" t="str">
        <f t="shared" si="2"/>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13" s="6">
        <f t="shared" si="3"/>
        <v>0</v>
      </c>
      <c r="K13"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O13" s="17"/>
    </row>
    <row r="14" spans="2:19" ht="75" customHeight="1" x14ac:dyDescent="0.3">
      <c r="B14" s="7" t="s">
        <v>16</v>
      </c>
      <c r="C14" s="8" t="s">
        <v>23</v>
      </c>
      <c r="D14" s="4"/>
      <c r="E14" s="5" t="str">
        <f t="shared" si="0"/>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F14" s="4"/>
      <c r="G14" s="5" t="str">
        <f t="shared" si="1"/>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H14" s="4"/>
      <c r="I14" s="5" t="str">
        <f t="shared" si="2"/>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J14" s="6">
        <f t="shared" si="3"/>
        <v>0</v>
      </c>
      <c r="K14"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O14" s="17"/>
    </row>
    <row r="15" spans="2:19" ht="75" customHeight="1" x14ac:dyDescent="0.3">
      <c r="C15" s="4" t="s">
        <v>4</v>
      </c>
      <c r="D15" s="4" t="e">
        <f>AVERAGE(D8:D14)</f>
        <v>#DIV/0!</v>
      </c>
      <c r="E15" s="5" t="e">
        <f t="shared" si="0"/>
        <v>#DIV/0!</v>
      </c>
      <c r="F15" s="4" t="e">
        <f>AVERAGE(F8:F14)</f>
        <v>#DIV/0!</v>
      </c>
      <c r="G15" s="5" t="e">
        <f t="shared" si="1"/>
        <v>#DIV/0!</v>
      </c>
      <c r="H15" s="4" t="e">
        <f>AVERAGE(H8:H14)</f>
        <v>#DIV/0!</v>
      </c>
      <c r="I15" s="5" t="e">
        <f t="shared" si="2"/>
        <v>#DIV/0!</v>
      </c>
      <c r="J15" s="4">
        <f>AVERAGE(J8:J14)</f>
        <v>0</v>
      </c>
      <c r="K15" s="5" t="str">
        <f t="shared" si="4"/>
        <v>Deficiente: No logra identificar los conceptos fundamentales ni aplicar los procedimientos básicos requeridos para el análisis y resolución de los problemas planteados.Presenta dificultades para ejecutar actividades de laboratorio y simulación, incluso con acompañamiento docente, lo que evidencia una ausencia de apropiación conceptual y procedimental.</v>
      </c>
      <c r="O15" s="17"/>
    </row>
    <row r="16" spans="2:19" x14ac:dyDescent="0.3">
      <c r="O16" s="17"/>
    </row>
    <row r="17" spans="5:15" x14ac:dyDescent="0.3">
      <c r="O17" s="17"/>
    </row>
    <row r="18" spans="5:15" ht="409.5" customHeight="1" x14ac:dyDescent="0.3">
      <c r="E18" s="19"/>
    </row>
    <row r="19" spans="5:15" x14ac:dyDescent="0.3">
      <c r="E19" s="19"/>
    </row>
    <row r="20" spans="5:15" x14ac:dyDescent="0.3">
      <c r="E20" s="19"/>
    </row>
    <row r="21" spans="5:15" x14ac:dyDescent="0.3">
      <c r="E21" s="19"/>
    </row>
    <row r="22" spans="5:15" x14ac:dyDescent="0.3">
      <c r="E22" s="19"/>
    </row>
    <row r="23" spans="5:15" x14ac:dyDescent="0.3">
      <c r="E23" s="19"/>
    </row>
    <row r="24" spans="5:15" x14ac:dyDescent="0.3">
      <c r="E24" s="19"/>
    </row>
    <row r="25" spans="5:15" x14ac:dyDescent="0.3">
      <c r="E25" s="19"/>
    </row>
    <row r="26" spans="5:15" x14ac:dyDescent="0.3">
      <c r="E26" s="19"/>
    </row>
    <row r="27" spans="5:15" x14ac:dyDescent="0.3">
      <c r="E27" s="19"/>
    </row>
    <row r="28" spans="5:15" x14ac:dyDescent="0.3">
      <c r="E28" s="19"/>
    </row>
    <row r="29" spans="5:15" x14ac:dyDescent="0.3">
      <c r="E29" s="19"/>
    </row>
    <row r="30" spans="5:15" x14ac:dyDescent="0.3">
      <c r="E30" s="19"/>
    </row>
    <row r="31" spans="5:15" x14ac:dyDescent="0.3">
      <c r="E31" s="19"/>
    </row>
    <row r="32" spans="5:15" x14ac:dyDescent="0.3">
      <c r="E32" s="19"/>
    </row>
    <row r="33" spans="5:5" x14ac:dyDescent="0.3">
      <c r="E33" s="19"/>
    </row>
    <row r="34" spans="5:5" x14ac:dyDescent="0.3">
      <c r="E34" s="19"/>
    </row>
    <row r="35" spans="5:5" x14ac:dyDescent="0.3">
      <c r="E35" s="19"/>
    </row>
    <row r="36" spans="5:5" x14ac:dyDescent="0.3">
      <c r="E36" s="19"/>
    </row>
  </sheetData>
  <mergeCells count="8">
    <mergeCell ref="O11:O17"/>
    <mergeCell ref="O4:S5"/>
    <mergeCell ref="E18:E36"/>
    <mergeCell ref="B7:C7"/>
    <mergeCell ref="B1:C1"/>
    <mergeCell ref="D1:E1"/>
    <mergeCell ref="D2:E2"/>
    <mergeCell ref="B2:C2"/>
  </mergeCells>
  <phoneticPr fontId="3" type="noConversion"/>
  <pageMargins left="0.7" right="0.7" top="0.75" bottom="0.75" header="0.3" footer="0.3"/>
  <pageSetup paperSize="9" orientation="portrait" r:id="rId1"/>
  <ignoredErrors>
    <ignoredError sqref="J8 J11" formula="1"/>
  </ignoredErrors>
  <extLst>
    <ext xmlns:x14="http://schemas.microsoft.com/office/spreadsheetml/2009/9/main" uri="{CCE6A557-97BC-4b89-ADB6-D9C93CAAB3DF}">
      <x14:dataValidations xmlns:xm="http://schemas.microsoft.com/office/excel/2006/main" count="2">
        <x14:dataValidation type="list" allowBlank="1" showInputMessage="1" showErrorMessage="1" xr:uid="{CDF2FAC5-B178-4424-8FB5-7CB027AA089F}">
          <x14:formula1>
            <xm:f>Hoja2!$C$4:$C$6</xm:f>
          </x14:formula1>
          <xm:sqref>D1</xm:sqref>
        </x14:dataValidation>
        <x14:dataValidation type="list" allowBlank="1" showInputMessage="1" showErrorMessage="1" xr:uid="{EFEAAA22-BFB3-42E3-B767-1ACDDDAE579D}">
          <x14:formula1>
            <xm:f>Hoja2!$E$4:$E$75</xm:f>
          </x14:formula1>
          <xm:sqref>D2:E2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E440-3DA2-462B-B960-B504EF83B9BB}">
  <dimension ref="A3:G78"/>
  <sheetViews>
    <sheetView tabSelected="1" topLeftCell="B6" workbookViewId="0">
      <selection activeCell="G74" sqref="G74"/>
    </sheetView>
  </sheetViews>
  <sheetFormatPr baseColWidth="10" defaultRowHeight="14.4" x14ac:dyDescent="0.3"/>
  <cols>
    <col min="1" max="1" width="45.77734375" bestFit="1" customWidth="1"/>
    <col min="2" max="2" width="21" bestFit="1" customWidth="1"/>
    <col min="3" max="3" width="21.109375" customWidth="1"/>
    <col min="4" max="4" width="22.88671875" customWidth="1"/>
    <col min="5" max="5" width="30.88671875" customWidth="1"/>
    <col min="6" max="6" width="37.109375" customWidth="1"/>
    <col min="7" max="7" width="23.33203125" bestFit="1" customWidth="1"/>
  </cols>
  <sheetData>
    <row r="3" spans="1:7" x14ac:dyDescent="0.3">
      <c r="A3" t="s">
        <v>136</v>
      </c>
      <c r="B3" t="s">
        <v>136</v>
      </c>
      <c r="C3" t="s">
        <v>136</v>
      </c>
      <c r="D3" s="2" t="s">
        <v>45</v>
      </c>
      <c r="E3" s="2" t="s">
        <v>46</v>
      </c>
      <c r="F3" s="2" t="s">
        <v>47</v>
      </c>
      <c r="G3" s="2" t="s">
        <v>37</v>
      </c>
    </row>
    <row r="4" spans="1:7" x14ac:dyDescent="0.3">
      <c r="A4" t="s">
        <v>220</v>
      </c>
      <c r="B4" t="s">
        <v>138</v>
      </c>
      <c r="C4" t="s">
        <v>137</v>
      </c>
      <c r="D4" t="s">
        <v>48</v>
      </c>
      <c r="E4" t="s">
        <v>49</v>
      </c>
      <c r="F4" t="s">
        <v>66</v>
      </c>
    </row>
    <row r="5" spans="1:7" x14ac:dyDescent="0.3">
      <c r="A5" t="s">
        <v>220</v>
      </c>
      <c r="B5" t="s">
        <v>138</v>
      </c>
      <c r="C5" t="s">
        <v>137</v>
      </c>
      <c r="D5" t="s">
        <v>50</v>
      </c>
      <c r="E5" t="s">
        <v>51</v>
      </c>
      <c r="F5" t="s">
        <v>67</v>
      </c>
    </row>
    <row r="6" spans="1:7" x14ac:dyDescent="0.3">
      <c r="A6" t="s">
        <v>220</v>
      </c>
      <c r="B6" t="s">
        <v>138</v>
      </c>
      <c r="C6" t="s">
        <v>137</v>
      </c>
      <c r="D6" t="s">
        <v>52</v>
      </c>
      <c r="E6" t="s">
        <v>53</v>
      </c>
      <c r="F6" t="s">
        <v>68</v>
      </c>
    </row>
    <row r="7" spans="1:7" x14ac:dyDescent="0.3">
      <c r="A7" t="s">
        <v>220</v>
      </c>
      <c r="B7" t="s">
        <v>138</v>
      </c>
      <c r="C7" t="s">
        <v>137</v>
      </c>
      <c r="D7" t="s">
        <v>54</v>
      </c>
      <c r="E7" t="s">
        <v>55</v>
      </c>
      <c r="F7" t="s">
        <v>69</v>
      </c>
    </row>
    <row r="8" spans="1:7" x14ac:dyDescent="0.3">
      <c r="A8" t="s">
        <v>220</v>
      </c>
      <c r="B8" t="s">
        <v>138</v>
      </c>
      <c r="C8" t="s">
        <v>137</v>
      </c>
      <c r="D8" t="s">
        <v>56</v>
      </c>
      <c r="E8" t="s">
        <v>57</v>
      </c>
      <c r="F8" t="s">
        <v>70</v>
      </c>
    </row>
    <row r="9" spans="1:7" x14ac:dyDescent="0.3">
      <c r="A9" t="s">
        <v>220</v>
      </c>
      <c r="B9" t="s">
        <v>138</v>
      </c>
      <c r="C9" t="s">
        <v>137</v>
      </c>
      <c r="D9" t="s">
        <v>58</v>
      </c>
      <c r="E9" t="s">
        <v>59</v>
      </c>
      <c r="F9" t="s">
        <v>71</v>
      </c>
    </row>
    <row r="10" spans="1:7" x14ac:dyDescent="0.3">
      <c r="A10" t="s">
        <v>220</v>
      </c>
      <c r="B10" t="s">
        <v>138</v>
      </c>
      <c r="C10" t="s">
        <v>137</v>
      </c>
      <c r="D10" t="s">
        <v>60</v>
      </c>
      <c r="E10" t="s">
        <v>61</v>
      </c>
      <c r="F10" t="s">
        <v>72</v>
      </c>
    </row>
    <row r="11" spans="1:7" x14ac:dyDescent="0.3">
      <c r="A11" t="s">
        <v>220</v>
      </c>
      <c r="B11" t="s">
        <v>138</v>
      </c>
      <c r="C11" t="s">
        <v>137</v>
      </c>
      <c r="D11" t="s">
        <v>62</v>
      </c>
      <c r="E11" t="s">
        <v>63</v>
      </c>
      <c r="F11" t="s">
        <v>73</v>
      </c>
    </row>
    <row r="12" spans="1:7" x14ac:dyDescent="0.3">
      <c r="A12" t="s">
        <v>220</v>
      </c>
      <c r="B12" t="s">
        <v>138</v>
      </c>
      <c r="C12" t="s">
        <v>137</v>
      </c>
      <c r="D12" t="s">
        <v>64</v>
      </c>
      <c r="E12" t="s">
        <v>65</v>
      </c>
      <c r="F12" t="s">
        <v>74</v>
      </c>
    </row>
    <row r="13" spans="1:7" x14ac:dyDescent="0.3">
      <c r="A13" t="s">
        <v>220</v>
      </c>
      <c r="B13" t="s">
        <v>138</v>
      </c>
      <c r="C13" t="s">
        <v>137</v>
      </c>
      <c r="D13" t="s">
        <v>75</v>
      </c>
      <c r="E13" t="s">
        <v>76</v>
      </c>
      <c r="F13" t="s">
        <v>83</v>
      </c>
    </row>
    <row r="14" spans="1:7" x14ac:dyDescent="0.3">
      <c r="A14" t="s">
        <v>220</v>
      </c>
      <c r="B14" t="s">
        <v>138</v>
      </c>
      <c r="C14" t="s">
        <v>137</v>
      </c>
      <c r="D14" t="s">
        <v>77</v>
      </c>
      <c r="E14" t="s">
        <v>78</v>
      </c>
      <c r="F14" t="s">
        <v>84</v>
      </c>
    </row>
    <row r="15" spans="1:7" x14ac:dyDescent="0.3">
      <c r="A15" t="s">
        <v>220</v>
      </c>
      <c r="B15" t="s">
        <v>138</v>
      </c>
      <c r="C15" t="s">
        <v>137</v>
      </c>
      <c r="D15" t="s">
        <v>79</v>
      </c>
      <c r="E15" t="s">
        <v>80</v>
      </c>
      <c r="F15" t="s">
        <v>85</v>
      </c>
    </row>
    <row r="16" spans="1:7" x14ac:dyDescent="0.3">
      <c r="A16" t="s">
        <v>220</v>
      </c>
      <c r="B16" t="s">
        <v>138</v>
      </c>
      <c r="C16" t="s">
        <v>137</v>
      </c>
      <c r="D16" t="s">
        <v>81</v>
      </c>
      <c r="E16" t="s">
        <v>82</v>
      </c>
      <c r="F16" t="s">
        <v>86</v>
      </c>
    </row>
    <row r="17" spans="1:6" x14ac:dyDescent="0.3">
      <c r="A17" t="s">
        <v>220</v>
      </c>
      <c r="B17" t="s">
        <v>138</v>
      </c>
      <c r="C17" t="s">
        <v>137</v>
      </c>
      <c r="D17" t="s">
        <v>87</v>
      </c>
      <c r="E17" t="s">
        <v>88</v>
      </c>
      <c r="F17" t="s">
        <v>99</v>
      </c>
    </row>
    <row r="18" spans="1:6" x14ac:dyDescent="0.3">
      <c r="A18" t="s">
        <v>220</v>
      </c>
      <c r="B18" t="s">
        <v>138</v>
      </c>
      <c r="C18" t="s">
        <v>137</v>
      </c>
      <c r="D18" t="s">
        <v>89</v>
      </c>
      <c r="E18" t="s">
        <v>90</v>
      </c>
      <c r="F18" t="s">
        <v>100</v>
      </c>
    </row>
    <row r="19" spans="1:6" x14ac:dyDescent="0.3">
      <c r="A19" t="s">
        <v>220</v>
      </c>
      <c r="B19" t="s">
        <v>138</v>
      </c>
      <c r="C19" t="s">
        <v>137</v>
      </c>
      <c r="D19" t="s">
        <v>91</v>
      </c>
      <c r="E19" t="s">
        <v>92</v>
      </c>
      <c r="F19" t="s">
        <v>101</v>
      </c>
    </row>
    <row r="20" spans="1:6" x14ac:dyDescent="0.3">
      <c r="A20" t="s">
        <v>220</v>
      </c>
      <c r="B20" t="s">
        <v>138</v>
      </c>
      <c r="C20" t="s">
        <v>137</v>
      </c>
      <c r="D20" t="s">
        <v>93</v>
      </c>
      <c r="E20" t="s">
        <v>94</v>
      </c>
      <c r="F20" t="s">
        <v>102</v>
      </c>
    </row>
    <row r="21" spans="1:6" x14ac:dyDescent="0.3">
      <c r="A21" t="s">
        <v>220</v>
      </c>
      <c r="B21" t="s">
        <v>138</v>
      </c>
      <c r="C21" t="s">
        <v>137</v>
      </c>
      <c r="D21" t="s">
        <v>95</v>
      </c>
      <c r="E21" t="s">
        <v>96</v>
      </c>
      <c r="F21" t="s">
        <v>103</v>
      </c>
    </row>
    <row r="22" spans="1:6" x14ac:dyDescent="0.3">
      <c r="A22" t="s">
        <v>220</v>
      </c>
      <c r="B22" t="s">
        <v>138</v>
      </c>
      <c r="C22" t="s">
        <v>137</v>
      </c>
      <c r="D22" t="s">
        <v>97</v>
      </c>
      <c r="E22" t="s">
        <v>98</v>
      </c>
      <c r="F22" t="s">
        <v>104</v>
      </c>
    </row>
    <row r="23" spans="1:6" x14ac:dyDescent="0.3">
      <c r="A23" t="s">
        <v>220</v>
      </c>
      <c r="B23" t="s">
        <v>138</v>
      </c>
      <c r="C23" t="s">
        <v>137</v>
      </c>
      <c r="D23" t="s">
        <v>105</v>
      </c>
      <c r="E23" t="s">
        <v>106</v>
      </c>
      <c r="F23" t="s">
        <v>122</v>
      </c>
    </row>
    <row r="24" spans="1:6" x14ac:dyDescent="0.3">
      <c r="A24" t="s">
        <v>220</v>
      </c>
      <c r="B24" t="s">
        <v>138</v>
      </c>
      <c r="C24" t="s">
        <v>137</v>
      </c>
      <c r="D24" t="s">
        <v>107</v>
      </c>
      <c r="E24" t="s">
        <v>108</v>
      </c>
      <c r="F24" t="s">
        <v>123</v>
      </c>
    </row>
    <row r="25" spans="1:6" x14ac:dyDescent="0.3">
      <c r="A25" t="s">
        <v>220</v>
      </c>
      <c r="B25" t="s">
        <v>138</v>
      </c>
      <c r="C25" t="s">
        <v>137</v>
      </c>
      <c r="D25" t="s">
        <v>109</v>
      </c>
      <c r="E25" t="s">
        <v>110</v>
      </c>
      <c r="F25" t="s">
        <v>124</v>
      </c>
    </row>
    <row r="26" spans="1:6" x14ac:dyDescent="0.3">
      <c r="A26" t="s">
        <v>220</v>
      </c>
      <c r="B26" t="s">
        <v>138</v>
      </c>
      <c r="C26" t="s">
        <v>137</v>
      </c>
      <c r="D26" t="s">
        <v>111</v>
      </c>
      <c r="E26" t="s">
        <v>112</v>
      </c>
      <c r="F26" t="s">
        <v>125</v>
      </c>
    </row>
    <row r="27" spans="1:6" x14ac:dyDescent="0.3">
      <c r="A27" t="s">
        <v>220</v>
      </c>
      <c r="B27" t="s">
        <v>138</v>
      </c>
      <c r="C27" t="s">
        <v>137</v>
      </c>
      <c r="D27" t="s">
        <v>113</v>
      </c>
      <c r="E27" t="s">
        <v>114</v>
      </c>
      <c r="F27" t="s">
        <v>126</v>
      </c>
    </row>
    <row r="28" spans="1:6" x14ac:dyDescent="0.3">
      <c r="A28" t="s">
        <v>220</v>
      </c>
      <c r="B28" t="s">
        <v>138</v>
      </c>
      <c r="C28" t="s">
        <v>137</v>
      </c>
      <c r="D28" t="s">
        <v>115</v>
      </c>
      <c r="E28" t="s">
        <v>116</v>
      </c>
      <c r="F28" t="s">
        <v>127</v>
      </c>
    </row>
    <row r="29" spans="1:6" x14ac:dyDescent="0.3">
      <c r="A29" t="s">
        <v>220</v>
      </c>
      <c r="B29" t="s">
        <v>138</v>
      </c>
      <c r="C29" t="s">
        <v>137</v>
      </c>
      <c r="D29" t="s">
        <v>117</v>
      </c>
      <c r="E29" t="s">
        <v>118</v>
      </c>
      <c r="F29" t="s">
        <v>128</v>
      </c>
    </row>
    <row r="30" spans="1:6" x14ac:dyDescent="0.3">
      <c r="A30" t="s">
        <v>220</v>
      </c>
      <c r="B30" t="s">
        <v>138</v>
      </c>
      <c r="C30" t="s">
        <v>137</v>
      </c>
      <c r="D30" t="s">
        <v>119</v>
      </c>
      <c r="E30" t="s">
        <v>120</v>
      </c>
      <c r="F30" t="s">
        <v>221</v>
      </c>
    </row>
    <row r="31" spans="1:6" x14ac:dyDescent="0.3">
      <c r="A31" t="s">
        <v>220</v>
      </c>
      <c r="B31" t="s">
        <v>138</v>
      </c>
      <c r="C31" t="s">
        <v>137</v>
      </c>
      <c r="D31" t="s">
        <v>121</v>
      </c>
      <c r="E31" t="s">
        <v>209</v>
      </c>
      <c r="F31" t="s">
        <v>222</v>
      </c>
    </row>
    <row r="32" spans="1:6" x14ac:dyDescent="0.3">
      <c r="A32" t="s">
        <v>220</v>
      </c>
      <c r="B32" t="s">
        <v>138</v>
      </c>
      <c r="C32" t="s">
        <v>137</v>
      </c>
      <c r="D32" t="s">
        <v>129</v>
      </c>
      <c r="E32" t="s">
        <v>212</v>
      </c>
      <c r="F32" t="s">
        <v>223</v>
      </c>
    </row>
    <row r="33" spans="1:6" x14ac:dyDescent="0.3">
      <c r="A33" t="s">
        <v>220</v>
      </c>
      <c r="B33" t="s">
        <v>138</v>
      </c>
      <c r="C33" t="s">
        <v>137</v>
      </c>
      <c r="D33" t="s">
        <v>130</v>
      </c>
      <c r="E33" t="s">
        <v>211</v>
      </c>
      <c r="F33" t="s">
        <v>224</v>
      </c>
    </row>
    <row r="34" spans="1:6" x14ac:dyDescent="0.3">
      <c r="A34" t="s">
        <v>220</v>
      </c>
      <c r="B34" t="s">
        <v>138</v>
      </c>
      <c r="C34" t="s">
        <v>137</v>
      </c>
      <c r="D34" t="s">
        <v>131</v>
      </c>
      <c r="E34" t="s">
        <v>205</v>
      </c>
      <c r="F34" t="s">
        <v>225</v>
      </c>
    </row>
    <row r="35" spans="1:6" x14ac:dyDescent="0.3">
      <c r="A35" t="s">
        <v>220</v>
      </c>
      <c r="B35" t="s">
        <v>138</v>
      </c>
      <c r="C35" t="s">
        <v>137</v>
      </c>
      <c r="E35" t="s">
        <v>204</v>
      </c>
    </row>
    <row r="36" spans="1:6" x14ac:dyDescent="0.3">
      <c r="A36" t="s">
        <v>220</v>
      </c>
      <c r="B36" t="s">
        <v>138</v>
      </c>
      <c r="C36" t="s">
        <v>137</v>
      </c>
      <c r="D36" t="s">
        <v>132</v>
      </c>
      <c r="E36" t="s">
        <v>206</v>
      </c>
      <c r="F36" t="s">
        <v>226</v>
      </c>
    </row>
    <row r="37" spans="1:6" x14ac:dyDescent="0.3">
      <c r="A37" t="s">
        <v>220</v>
      </c>
      <c r="B37" t="s">
        <v>138</v>
      </c>
      <c r="C37" t="s">
        <v>137</v>
      </c>
      <c r="D37" t="s">
        <v>133</v>
      </c>
      <c r="E37" t="s">
        <v>207</v>
      </c>
      <c r="F37" t="s">
        <v>227</v>
      </c>
    </row>
    <row r="38" spans="1:6" x14ac:dyDescent="0.3">
      <c r="A38" t="s">
        <v>220</v>
      </c>
      <c r="B38" t="s">
        <v>138</v>
      </c>
      <c r="C38" t="s">
        <v>137</v>
      </c>
      <c r="D38" t="s">
        <v>134</v>
      </c>
      <c r="E38" t="s">
        <v>208</v>
      </c>
      <c r="F38" t="s">
        <v>228</v>
      </c>
    </row>
    <row r="39" spans="1:6" x14ac:dyDescent="0.3">
      <c r="A39" t="s">
        <v>220</v>
      </c>
      <c r="B39" t="s">
        <v>138</v>
      </c>
      <c r="C39" t="s">
        <v>137</v>
      </c>
      <c r="D39" t="s">
        <v>119</v>
      </c>
      <c r="E39" t="s">
        <v>120</v>
      </c>
      <c r="F39" t="s">
        <v>229</v>
      </c>
    </row>
    <row r="40" spans="1:6" x14ac:dyDescent="0.3">
      <c r="A40" t="s">
        <v>220</v>
      </c>
      <c r="B40" t="s">
        <v>138</v>
      </c>
      <c r="C40" t="s">
        <v>137</v>
      </c>
      <c r="D40" t="s">
        <v>121</v>
      </c>
      <c r="E40" t="s">
        <v>209</v>
      </c>
      <c r="F40" t="s">
        <v>222</v>
      </c>
    </row>
    <row r="41" spans="1:6" x14ac:dyDescent="0.3">
      <c r="A41" t="s">
        <v>220</v>
      </c>
      <c r="B41" t="s">
        <v>138</v>
      </c>
      <c r="C41" t="s">
        <v>137</v>
      </c>
      <c r="D41" t="s">
        <v>48</v>
      </c>
      <c r="E41" t="s">
        <v>210</v>
      </c>
      <c r="F41" t="s">
        <v>142</v>
      </c>
    </row>
    <row r="42" spans="1:6" x14ac:dyDescent="0.3">
      <c r="A42" t="s">
        <v>220</v>
      </c>
      <c r="B42" t="s">
        <v>138</v>
      </c>
      <c r="C42" t="s">
        <v>137</v>
      </c>
      <c r="D42" t="s">
        <v>50</v>
      </c>
      <c r="E42" t="s">
        <v>139</v>
      </c>
      <c r="F42" t="s">
        <v>143</v>
      </c>
    </row>
    <row r="43" spans="1:6" x14ac:dyDescent="0.3">
      <c r="A43" t="s">
        <v>220</v>
      </c>
      <c r="B43" t="s">
        <v>138</v>
      </c>
      <c r="C43" t="s">
        <v>137</v>
      </c>
      <c r="D43" t="s">
        <v>140</v>
      </c>
      <c r="E43" t="s">
        <v>55</v>
      </c>
      <c r="F43" t="s">
        <v>144</v>
      </c>
    </row>
    <row r="44" spans="1:6" x14ac:dyDescent="0.3">
      <c r="A44" t="s">
        <v>220</v>
      </c>
      <c r="B44" t="s">
        <v>138</v>
      </c>
      <c r="C44" t="s">
        <v>137</v>
      </c>
      <c r="D44" t="s">
        <v>141</v>
      </c>
      <c r="E44" t="s">
        <v>203</v>
      </c>
      <c r="F44" t="s">
        <v>145</v>
      </c>
    </row>
    <row r="45" spans="1:6" x14ac:dyDescent="0.3">
      <c r="A45" t="s">
        <v>220</v>
      </c>
      <c r="B45" t="s">
        <v>138</v>
      </c>
      <c r="C45" t="s">
        <v>137</v>
      </c>
      <c r="D45" t="s">
        <v>58</v>
      </c>
      <c r="E45" t="s">
        <v>57</v>
      </c>
      <c r="F45" t="s">
        <v>71</v>
      </c>
    </row>
    <row r="46" spans="1:6" x14ac:dyDescent="0.3">
      <c r="A46" t="s">
        <v>220</v>
      </c>
      <c r="B46" t="s">
        <v>138</v>
      </c>
      <c r="C46" t="s">
        <v>137</v>
      </c>
      <c r="D46" t="s">
        <v>60</v>
      </c>
      <c r="E46" t="s">
        <v>61</v>
      </c>
      <c r="F46" t="s">
        <v>146</v>
      </c>
    </row>
    <row r="47" spans="1:6" x14ac:dyDescent="0.3">
      <c r="A47" t="s">
        <v>220</v>
      </c>
      <c r="B47" t="s">
        <v>138</v>
      </c>
      <c r="C47" t="s">
        <v>137</v>
      </c>
      <c r="D47" t="s">
        <v>62</v>
      </c>
      <c r="E47" t="s">
        <v>63</v>
      </c>
      <c r="F47" t="s">
        <v>73</v>
      </c>
    </row>
    <row r="48" spans="1:6" x14ac:dyDescent="0.3">
      <c r="A48" t="s">
        <v>220</v>
      </c>
      <c r="B48" t="s">
        <v>138</v>
      </c>
      <c r="C48" t="s">
        <v>137</v>
      </c>
      <c r="D48" t="s">
        <v>64</v>
      </c>
      <c r="E48" t="s">
        <v>65</v>
      </c>
      <c r="F48" t="s">
        <v>74</v>
      </c>
    </row>
    <row r="49" spans="1:6" x14ac:dyDescent="0.3">
      <c r="A49" t="s">
        <v>220</v>
      </c>
      <c r="B49" t="s">
        <v>138</v>
      </c>
      <c r="C49" t="s">
        <v>137</v>
      </c>
      <c r="D49" t="s">
        <v>147</v>
      </c>
      <c r="E49" t="s">
        <v>80</v>
      </c>
      <c r="F49" t="s">
        <v>85</v>
      </c>
    </row>
    <row r="50" spans="1:6" x14ac:dyDescent="0.3">
      <c r="A50" t="s">
        <v>220</v>
      </c>
      <c r="B50" t="s">
        <v>138</v>
      </c>
      <c r="C50" t="s">
        <v>137</v>
      </c>
      <c r="D50" t="s">
        <v>147</v>
      </c>
      <c r="E50" t="s">
        <v>148</v>
      </c>
      <c r="F50" t="s">
        <v>149</v>
      </c>
    </row>
    <row r="51" spans="1:6" x14ac:dyDescent="0.3">
      <c r="A51" t="s">
        <v>220</v>
      </c>
      <c r="B51" t="s">
        <v>138</v>
      </c>
      <c r="C51" t="s">
        <v>137</v>
      </c>
      <c r="D51" t="s">
        <v>81</v>
      </c>
      <c r="E51" t="s">
        <v>82</v>
      </c>
      <c r="F51" t="s">
        <v>86</v>
      </c>
    </row>
    <row r="52" spans="1:6" x14ac:dyDescent="0.3">
      <c r="A52" t="s">
        <v>220</v>
      </c>
      <c r="B52" t="s">
        <v>138</v>
      </c>
      <c r="C52" t="s">
        <v>137</v>
      </c>
      <c r="D52" t="s">
        <v>105</v>
      </c>
      <c r="E52" t="s">
        <v>106</v>
      </c>
      <c r="F52" t="s">
        <v>122</v>
      </c>
    </row>
    <row r="53" spans="1:6" x14ac:dyDescent="0.3">
      <c r="A53" t="s">
        <v>220</v>
      </c>
      <c r="B53" t="s">
        <v>138</v>
      </c>
      <c r="C53" t="s">
        <v>137</v>
      </c>
      <c r="D53" t="s">
        <v>107</v>
      </c>
      <c r="E53" t="s">
        <v>108</v>
      </c>
      <c r="F53" t="s">
        <v>123</v>
      </c>
    </row>
    <row r="54" spans="1:6" x14ac:dyDescent="0.3">
      <c r="A54" t="s">
        <v>220</v>
      </c>
      <c r="B54" t="s">
        <v>138</v>
      </c>
      <c r="C54" t="s">
        <v>137</v>
      </c>
      <c r="D54" t="s">
        <v>109</v>
      </c>
      <c r="E54" t="s">
        <v>150</v>
      </c>
      <c r="F54" t="s">
        <v>124</v>
      </c>
    </row>
    <row r="55" spans="1:6" x14ac:dyDescent="0.3">
      <c r="A55" t="s">
        <v>220</v>
      </c>
      <c r="B55" t="s">
        <v>138</v>
      </c>
      <c r="C55" t="s">
        <v>137</v>
      </c>
      <c r="D55" t="s">
        <v>111</v>
      </c>
      <c r="E55" t="s">
        <v>202</v>
      </c>
      <c r="F55" t="s">
        <v>125</v>
      </c>
    </row>
    <row r="56" spans="1:6" x14ac:dyDescent="0.3">
      <c r="A56" t="s">
        <v>220</v>
      </c>
      <c r="B56" t="s">
        <v>138</v>
      </c>
      <c r="C56" t="s">
        <v>137</v>
      </c>
      <c r="D56" t="s">
        <v>151</v>
      </c>
      <c r="E56" t="s">
        <v>201</v>
      </c>
      <c r="F56" t="s">
        <v>156</v>
      </c>
    </row>
    <row r="57" spans="1:6" x14ac:dyDescent="0.3">
      <c r="A57" t="s">
        <v>220</v>
      </c>
      <c r="B57" t="s">
        <v>138</v>
      </c>
      <c r="C57" t="s">
        <v>137</v>
      </c>
      <c r="D57" t="s">
        <v>152</v>
      </c>
      <c r="E57" t="s">
        <v>200</v>
      </c>
      <c r="F57" t="s">
        <v>157</v>
      </c>
    </row>
    <row r="58" spans="1:6" x14ac:dyDescent="0.3">
      <c r="A58" t="s">
        <v>220</v>
      </c>
      <c r="B58" t="s">
        <v>138</v>
      </c>
      <c r="C58" t="s">
        <v>137</v>
      </c>
      <c r="D58" t="s">
        <v>153</v>
      </c>
      <c r="E58" t="s">
        <v>199</v>
      </c>
      <c r="F58" t="s">
        <v>158</v>
      </c>
    </row>
    <row r="59" spans="1:6" x14ac:dyDescent="0.3">
      <c r="A59" t="s">
        <v>220</v>
      </c>
      <c r="B59" t="s">
        <v>138</v>
      </c>
      <c r="C59" t="s">
        <v>137</v>
      </c>
      <c r="D59" t="s">
        <v>154</v>
      </c>
      <c r="E59" t="s">
        <v>155</v>
      </c>
      <c r="F59" t="s">
        <v>159</v>
      </c>
    </row>
    <row r="60" spans="1:6" x14ac:dyDescent="0.3">
      <c r="A60" t="s">
        <v>220</v>
      </c>
      <c r="B60" t="s">
        <v>138</v>
      </c>
      <c r="C60" t="s">
        <v>137</v>
      </c>
      <c r="D60" t="s">
        <v>115</v>
      </c>
      <c r="E60" t="s">
        <v>116</v>
      </c>
      <c r="F60" t="s">
        <v>127</v>
      </c>
    </row>
    <row r="61" spans="1:6" x14ac:dyDescent="0.3">
      <c r="A61" t="s">
        <v>220</v>
      </c>
      <c r="B61" t="s">
        <v>138</v>
      </c>
      <c r="C61" t="s">
        <v>137</v>
      </c>
      <c r="D61" t="s">
        <v>117</v>
      </c>
      <c r="E61" t="s">
        <v>118</v>
      </c>
      <c r="F61" t="s">
        <v>128</v>
      </c>
    </row>
    <row r="62" spans="1:6" x14ac:dyDescent="0.3">
      <c r="A62" t="s">
        <v>220</v>
      </c>
      <c r="B62" t="s">
        <v>138</v>
      </c>
      <c r="C62" t="s">
        <v>137</v>
      </c>
      <c r="D62" t="s">
        <v>132</v>
      </c>
      <c r="E62" t="s">
        <v>160</v>
      </c>
      <c r="F62" t="s">
        <v>226</v>
      </c>
    </row>
    <row r="63" spans="1:6" x14ac:dyDescent="0.3">
      <c r="A63" t="s">
        <v>220</v>
      </c>
      <c r="B63" t="s">
        <v>138</v>
      </c>
      <c r="C63" t="s">
        <v>137</v>
      </c>
      <c r="D63" t="s">
        <v>161</v>
      </c>
      <c r="E63" t="s">
        <v>162</v>
      </c>
      <c r="F63" t="s">
        <v>167</v>
      </c>
    </row>
    <row r="64" spans="1:6" x14ac:dyDescent="0.3">
      <c r="A64" t="s">
        <v>220</v>
      </c>
      <c r="B64" t="s">
        <v>138</v>
      </c>
      <c r="C64" t="s">
        <v>137</v>
      </c>
      <c r="D64" t="s">
        <v>163</v>
      </c>
      <c r="E64" t="s">
        <v>194</v>
      </c>
      <c r="F64" t="s">
        <v>168</v>
      </c>
    </row>
    <row r="65" spans="1:6" x14ac:dyDescent="0.3">
      <c r="A65" t="s">
        <v>220</v>
      </c>
      <c r="B65" t="s">
        <v>138</v>
      </c>
      <c r="C65" t="s">
        <v>137</v>
      </c>
      <c r="D65" t="s">
        <v>164</v>
      </c>
      <c r="E65" t="s">
        <v>193</v>
      </c>
      <c r="F65" t="s">
        <v>169</v>
      </c>
    </row>
    <row r="66" spans="1:6" x14ac:dyDescent="0.3">
      <c r="A66" t="s">
        <v>220</v>
      </c>
      <c r="B66" t="s">
        <v>138</v>
      </c>
      <c r="C66" t="s">
        <v>137</v>
      </c>
      <c r="D66" t="s">
        <v>165</v>
      </c>
      <c r="E66" t="s">
        <v>192</v>
      </c>
      <c r="F66" t="s">
        <v>170</v>
      </c>
    </row>
    <row r="67" spans="1:6" x14ac:dyDescent="0.3">
      <c r="A67" t="s">
        <v>220</v>
      </c>
      <c r="B67" t="s">
        <v>138</v>
      </c>
      <c r="C67" t="s">
        <v>137</v>
      </c>
      <c r="D67" t="s">
        <v>166</v>
      </c>
      <c r="E67" t="s">
        <v>198</v>
      </c>
      <c r="F67" t="s">
        <v>171</v>
      </c>
    </row>
    <row r="68" spans="1:6" x14ac:dyDescent="0.3">
      <c r="A68" t="s">
        <v>220</v>
      </c>
      <c r="B68" t="s">
        <v>138</v>
      </c>
      <c r="C68" t="s">
        <v>137</v>
      </c>
      <c r="D68" t="s">
        <v>172</v>
      </c>
      <c r="E68" t="s">
        <v>197</v>
      </c>
      <c r="F68" t="s">
        <v>230</v>
      </c>
    </row>
    <row r="69" spans="1:6" x14ac:dyDescent="0.3">
      <c r="A69" t="s">
        <v>220</v>
      </c>
      <c r="B69" t="s">
        <v>138</v>
      </c>
      <c r="C69" t="s">
        <v>137</v>
      </c>
      <c r="D69" t="s">
        <v>173</v>
      </c>
      <c r="E69" t="s">
        <v>191</v>
      </c>
      <c r="F69" t="s">
        <v>181</v>
      </c>
    </row>
    <row r="70" spans="1:6" x14ac:dyDescent="0.3">
      <c r="A70" t="s">
        <v>220</v>
      </c>
      <c r="B70" t="s">
        <v>138</v>
      </c>
      <c r="C70" t="s">
        <v>137</v>
      </c>
      <c r="D70" t="s">
        <v>174</v>
      </c>
      <c r="E70" t="s">
        <v>190</v>
      </c>
      <c r="F70" t="s">
        <v>182</v>
      </c>
    </row>
    <row r="71" spans="1:6" ht="28.8" x14ac:dyDescent="0.3">
      <c r="A71" t="s">
        <v>220</v>
      </c>
      <c r="B71" t="s">
        <v>138</v>
      </c>
      <c r="C71" t="s">
        <v>137</v>
      </c>
      <c r="D71" t="s">
        <v>175</v>
      </c>
      <c r="E71" s="12" t="s">
        <v>188</v>
      </c>
      <c r="F71" t="s">
        <v>183</v>
      </c>
    </row>
    <row r="72" spans="1:6" x14ac:dyDescent="0.3">
      <c r="A72" t="s">
        <v>220</v>
      </c>
      <c r="B72" t="s">
        <v>138</v>
      </c>
      <c r="C72" t="s">
        <v>137</v>
      </c>
      <c r="D72" t="s">
        <v>176</v>
      </c>
      <c r="E72" t="s">
        <v>189</v>
      </c>
      <c r="F72" t="s">
        <v>184</v>
      </c>
    </row>
    <row r="73" spans="1:6" x14ac:dyDescent="0.3">
      <c r="A73" t="s">
        <v>220</v>
      </c>
      <c r="B73" t="s">
        <v>138</v>
      </c>
      <c r="C73" t="s">
        <v>137</v>
      </c>
      <c r="D73" t="s">
        <v>177</v>
      </c>
      <c r="E73" t="s">
        <v>196</v>
      </c>
      <c r="F73" t="s">
        <v>185</v>
      </c>
    </row>
    <row r="74" spans="1:6" x14ac:dyDescent="0.3">
      <c r="A74" t="s">
        <v>220</v>
      </c>
      <c r="B74" t="s">
        <v>138</v>
      </c>
      <c r="C74" t="s">
        <v>137</v>
      </c>
      <c r="D74" t="s">
        <v>178</v>
      </c>
      <c r="E74" t="s">
        <v>195</v>
      </c>
      <c r="F74" t="s">
        <v>186</v>
      </c>
    </row>
    <row r="75" spans="1:6" x14ac:dyDescent="0.3">
      <c r="A75" t="s">
        <v>220</v>
      </c>
      <c r="B75" t="s">
        <v>138</v>
      </c>
      <c r="C75" t="s">
        <v>137</v>
      </c>
      <c r="D75" t="s">
        <v>179</v>
      </c>
      <c r="E75" t="s">
        <v>180</v>
      </c>
      <c r="F75" t="s">
        <v>187</v>
      </c>
    </row>
    <row r="76" spans="1:6" x14ac:dyDescent="0.3">
      <c r="A76" t="s">
        <v>220</v>
      </c>
      <c r="B76" t="s">
        <v>138</v>
      </c>
      <c r="C76" t="s">
        <v>137</v>
      </c>
      <c r="D76" t="s">
        <v>153</v>
      </c>
      <c r="E76" t="s">
        <v>213</v>
      </c>
      <c r="F76" t="s">
        <v>158</v>
      </c>
    </row>
    <row r="77" spans="1:6" x14ac:dyDescent="0.3">
      <c r="A77" t="s">
        <v>220</v>
      </c>
      <c r="B77" t="s">
        <v>138</v>
      </c>
      <c r="C77" t="s">
        <v>137</v>
      </c>
      <c r="D77" t="s">
        <v>163</v>
      </c>
      <c r="E77" t="s">
        <v>214</v>
      </c>
      <c r="F77" t="s">
        <v>168</v>
      </c>
    </row>
    <row r="78" spans="1:6" x14ac:dyDescent="0.3">
      <c r="A78" t="s">
        <v>220</v>
      </c>
      <c r="B78" t="s">
        <v>138</v>
      </c>
      <c r="C78" t="s">
        <v>137</v>
      </c>
      <c r="D78" t="s">
        <v>48</v>
      </c>
      <c r="E78" t="s">
        <v>215</v>
      </c>
      <c r="F78"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Rene  Suarez Suarez</dc:creator>
  <cp:lastModifiedBy>Carlos Rene Suarez Suarez</cp:lastModifiedBy>
  <dcterms:created xsi:type="dcterms:W3CDTF">2026-01-08T17:25:47Z</dcterms:created>
  <dcterms:modified xsi:type="dcterms:W3CDTF">2026-06-06T16:25:43Z</dcterms:modified>
</cp:coreProperties>
</file>